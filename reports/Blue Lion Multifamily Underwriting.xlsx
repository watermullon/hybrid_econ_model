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3510322.sharepoint.com/sites/KCFundManagement/Shared Documents/Blue Lion/"/>
    </mc:Choice>
  </mc:AlternateContent>
  <xr:revisionPtr revIDLastSave="2396" documentId="8_{FFF8215B-E864-48D4-97AB-94E7B16BBC7F}" xr6:coauthVersionLast="47" xr6:coauthVersionMax="47" xr10:uidLastSave="{DAE01423-A528-47B2-9D77-396C9C83B2DF}"/>
  <bookViews>
    <workbookView xWindow="16800" yWindow="-16320" windowWidth="38640" windowHeight="15720" activeTab="9" xr2:uid="{00000000-000D-0000-FFFF-FFFF00000000}"/>
  </bookViews>
  <sheets>
    <sheet name="Amarillo T12" sheetId="1" r:id="rId1"/>
    <sheet name="Amarillo RR" sheetId="2" r:id="rId2"/>
    <sheet name="Oak T-12" sheetId="3" r:id="rId3"/>
    <sheet name="Oak RR" sheetId="4" r:id="rId4"/>
    <sheet name="WTAMSH T-12" sheetId="5" r:id="rId5"/>
    <sheet name="WTAMSH RR" sheetId="6" r:id="rId6"/>
    <sheet name="Amarillo UW" sheetId="7" r:id="rId7"/>
    <sheet name="Oak Cliff UW" sheetId="8" r:id="rId8"/>
    <sheet name="WTAMSH UW" sheetId="9" r:id="rId9"/>
    <sheet name="Deal Summary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0" l="1"/>
  <c r="D19" i="10"/>
  <c r="B19" i="10"/>
  <c r="G18" i="10"/>
  <c r="F18" i="10"/>
  <c r="E18" i="10"/>
  <c r="D18" i="10"/>
  <c r="C18" i="10"/>
  <c r="B18" i="10"/>
  <c r="G17" i="10"/>
  <c r="F17" i="10"/>
  <c r="E17" i="10"/>
  <c r="D17" i="10"/>
  <c r="C17" i="10"/>
  <c r="B17" i="10"/>
  <c r="G16" i="10"/>
  <c r="F16" i="10"/>
  <c r="E16" i="10"/>
  <c r="D16" i="10"/>
  <c r="C16" i="10"/>
  <c r="B16" i="10"/>
  <c r="F14" i="10"/>
  <c r="D14" i="10"/>
  <c r="B14" i="10"/>
  <c r="F13" i="10"/>
  <c r="D13" i="10"/>
  <c r="B13" i="10"/>
  <c r="F12" i="10"/>
  <c r="D12" i="10"/>
  <c r="B12" i="10"/>
  <c r="F11" i="10"/>
  <c r="D11" i="10"/>
  <c r="B11" i="10"/>
  <c r="F10" i="10"/>
  <c r="D10" i="10"/>
  <c r="B10" i="10"/>
  <c r="F9" i="10"/>
  <c r="D9" i="10"/>
  <c r="B9" i="10"/>
  <c r="F8" i="10"/>
  <c r="D8" i="10"/>
  <c r="B8" i="10"/>
  <c r="F7" i="10"/>
  <c r="D7" i="10"/>
  <c r="B7" i="10"/>
  <c r="F6" i="10"/>
  <c r="D6" i="10"/>
  <c r="B6" i="10"/>
  <c r="F5" i="10"/>
  <c r="D5" i="10"/>
  <c r="B5" i="10"/>
  <c r="F91" i="9"/>
  <c r="E91" i="9"/>
  <c r="D91" i="9"/>
  <c r="C91" i="9"/>
  <c r="B91" i="9"/>
  <c r="F90" i="9"/>
  <c r="E90" i="9"/>
  <c r="D90" i="9"/>
  <c r="C90" i="9"/>
  <c r="B90" i="9"/>
  <c r="F89" i="9"/>
  <c r="E89" i="9"/>
  <c r="D89" i="9"/>
  <c r="C89" i="9"/>
  <c r="B89" i="9"/>
  <c r="F88" i="9"/>
  <c r="E88" i="9"/>
  <c r="D88" i="9"/>
  <c r="C88" i="9"/>
  <c r="B88" i="9"/>
  <c r="F87" i="9"/>
  <c r="E87" i="9"/>
  <c r="D87" i="9"/>
  <c r="C87" i="9"/>
  <c r="B87" i="9"/>
  <c r="C81" i="9"/>
  <c r="C80" i="9"/>
  <c r="C79" i="9"/>
  <c r="C78" i="9"/>
  <c r="F82" i="9"/>
  <c r="E82" i="9"/>
  <c r="D82" i="9"/>
  <c r="C82" i="9"/>
  <c r="B82" i="9"/>
  <c r="F75" i="9"/>
  <c r="E75" i="9"/>
  <c r="D75" i="9"/>
  <c r="C75" i="9"/>
  <c r="B75" i="9"/>
  <c r="F73" i="9"/>
  <c r="F72" i="9"/>
  <c r="F71" i="9"/>
  <c r="F70" i="9"/>
  <c r="F68" i="9"/>
  <c r="E68" i="9"/>
  <c r="D68" i="9"/>
  <c r="C68" i="9"/>
  <c r="F67" i="9"/>
  <c r="E67" i="9"/>
  <c r="D67" i="9"/>
  <c r="C67" i="9"/>
  <c r="F66" i="9"/>
  <c r="E66" i="9"/>
  <c r="D66" i="9"/>
  <c r="C66" i="9"/>
  <c r="F64" i="9"/>
  <c r="E64" i="9"/>
  <c r="D64" i="9"/>
  <c r="C64" i="9"/>
  <c r="F63" i="9"/>
  <c r="E63" i="9"/>
  <c r="D63" i="9"/>
  <c r="C63" i="9"/>
  <c r="C62" i="9"/>
  <c r="C61" i="9"/>
  <c r="F60" i="9"/>
  <c r="F61" i="9" s="1"/>
  <c r="F62" i="9" s="1"/>
  <c r="E60" i="9"/>
  <c r="E61" i="9" s="1"/>
  <c r="E62" i="9" s="1"/>
  <c r="D60" i="9"/>
  <c r="D61" i="9" s="1"/>
  <c r="D62" i="9" s="1"/>
  <c r="C60" i="9"/>
  <c r="F57" i="9"/>
  <c r="B57" i="9"/>
  <c r="F56" i="9"/>
  <c r="E56" i="9"/>
  <c r="D56" i="9"/>
  <c r="C56" i="9"/>
  <c r="B56" i="9"/>
  <c r="F55" i="9"/>
  <c r="E55" i="9"/>
  <c r="D55" i="9"/>
  <c r="C55" i="9"/>
  <c r="B55" i="9"/>
  <c r="F54" i="9"/>
  <c r="E54" i="9"/>
  <c r="D54" i="9"/>
  <c r="C54" i="9"/>
  <c r="B54" i="9"/>
  <c r="F53" i="9"/>
  <c r="E53" i="9"/>
  <c r="D53" i="9"/>
  <c r="C53" i="9"/>
  <c r="B53" i="9"/>
  <c r="F52" i="9"/>
  <c r="E52" i="9"/>
  <c r="D52" i="9"/>
  <c r="C52" i="9"/>
  <c r="B52" i="9"/>
  <c r="F51" i="9"/>
  <c r="E51" i="9"/>
  <c r="D51" i="9"/>
  <c r="C51" i="9"/>
  <c r="B51" i="9"/>
  <c r="F50" i="9"/>
  <c r="E50" i="9"/>
  <c r="D50" i="9"/>
  <c r="C50" i="9"/>
  <c r="B50" i="9"/>
  <c r="F48" i="9"/>
  <c r="E48" i="9"/>
  <c r="D48" i="9"/>
  <c r="C48" i="9"/>
  <c r="B48" i="9"/>
  <c r="F47" i="9"/>
  <c r="E47" i="9"/>
  <c r="D47" i="9"/>
  <c r="C47" i="9"/>
  <c r="B47" i="9"/>
  <c r="F46" i="9"/>
  <c r="E46" i="9"/>
  <c r="D46" i="9"/>
  <c r="C46" i="9"/>
  <c r="B46" i="9"/>
  <c r="F44" i="9"/>
  <c r="E44" i="9"/>
  <c r="D44" i="9"/>
  <c r="C44" i="9"/>
  <c r="B44" i="9"/>
  <c r="E10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E13" i="9"/>
  <c r="E6" i="9"/>
  <c r="B9" i="9"/>
  <c r="F91" i="8"/>
  <c r="E91" i="8"/>
  <c r="D91" i="8"/>
  <c r="C91" i="8"/>
  <c r="B91" i="8"/>
  <c r="F90" i="8"/>
  <c r="E90" i="8"/>
  <c r="D90" i="8"/>
  <c r="C90" i="8"/>
  <c r="B90" i="8"/>
  <c r="F89" i="8"/>
  <c r="E89" i="8"/>
  <c r="D89" i="8"/>
  <c r="C89" i="8"/>
  <c r="B89" i="8"/>
  <c r="F88" i="8"/>
  <c r="E88" i="8"/>
  <c r="D88" i="8"/>
  <c r="C88" i="8"/>
  <c r="B88" i="8"/>
  <c r="F87" i="8"/>
  <c r="E87" i="8"/>
  <c r="D87" i="8"/>
  <c r="C87" i="8"/>
  <c r="B87" i="8"/>
  <c r="C81" i="8"/>
  <c r="C80" i="8"/>
  <c r="C79" i="8"/>
  <c r="C78" i="8"/>
  <c r="G82" i="8"/>
  <c r="F82" i="8"/>
  <c r="E82" i="8"/>
  <c r="D82" i="8"/>
  <c r="C82" i="8"/>
  <c r="B82" i="8"/>
  <c r="G75" i="8"/>
  <c r="F75" i="8"/>
  <c r="E75" i="8"/>
  <c r="D75" i="8"/>
  <c r="C75" i="8"/>
  <c r="B75" i="8"/>
  <c r="G73" i="8"/>
  <c r="G72" i="8"/>
  <c r="G71" i="8"/>
  <c r="G70" i="8"/>
  <c r="G68" i="8"/>
  <c r="F68" i="8"/>
  <c r="E68" i="8"/>
  <c r="D68" i="8"/>
  <c r="C68" i="8"/>
  <c r="G67" i="8"/>
  <c r="F67" i="8"/>
  <c r="E67" i="8"/>
  <c r="D67" i="8"/>
  <c r="C67" i="8"/>
  <c r="G66" i="8"/>
  <c r="F66" i="8"/>
  <c r="E66" i="8"/>
  <c r="D66" i="8"/>
  <c r="C66" i="8"/>
  <c r="G64" i="8"/>
  <c r="F64" i="8"/>
  <c r="E64" i="8"/>
  <c r="D64" i="8"/>
  <c r="C64" i="8"/>
  <c r="G63" i="8"/>
  <c r="F63" i="8"/>
  <c r="E63" i="8"/>
  <c r="F60" i="8" s="1"/>
  <c r="F61" i="8" s="1"/>
  <c r="F62" i="8" s="1"/>
  <c r="D63" i="8"/>
  <c r="C63" i="8"/>
  <c r="C62" i="8"/>
  <c r="G61" i="8"/>
  <c r="G62" i="8" s="1"/>
  <c r="C61" i="8"/>
  <c r="G60" i="8"/>
  <c r="E60" i="8"/>
  <c r="E61" i="8" s="1"/>
  <c r="E62" i="8" s="1"/>
  <c r="D60" i="8"/>
  <c r="D61" i="8" s="1"/>
  <c r="D62" i="8" s="1"/>
  <c r="C60" i="8"/>
  <c r="B31" i="8"/>
  <c r="G55" i="8"/>
  <c r="B55" i="8"/>
  <c r="G54" i="8"/>
  <c r="F54" i="8"/>
  <c r="E54" i="8"/>
  <c r="D54" i="8"/>
  <c r="C54" i="8"/>
  <c r="B54" i="8"/>
  <c r="G53" i="8"/>
  <c r="F53" i="8"/>
  <c r="E53" i="8"/>
  <c r="D53" i="8"/>
  <c r="C53" i="8"/>
  <c r="B53" i="8"/>
  <c r="G52" i="8"/>
  <c r="F52" i="8"/>
  <c r="E52" i="8"/>
  <c r="D52" i="8"/>
  <c r="C52" i="8"/>
  <c r="B52" i="8"/>
  <c r="G51" i="8"/>
  <c r="F51" i="8"/>
  <c r="E51" i="8"/>
  <c r="D51" i="8"/>
  <c r="C51" i="8"/>
  <c r="B51" i="8"/>
  <c r="G50" i="8"/>
  <c r="F50" i="8"/>
  <c r="E50" i="8"/>
  <c r="D50" i="8"/>
  <c r="C50" i="8"/>
  <c r="B50" i="8"/>
  <c r="G47" i="8"/>
  <c r="F47" i="8"/>
  <c r="E47" i="8"/>
  <c r="D47" i="8"/>
  <c r="C47" i="8"/>
  <c r="B47" i="8"/>
  <c r="G46" i="8"/>
  <c r="F46" i="8"/>
  <c r="E46" i="8"/>
  <c r="D46" i="8"/>
  <c r="C46" i="8"/>
  <c r="B46" i="8"/>
  <c r="G44" i="8"/>
  <c r="F44" i="8"/>
  <c r="E44" i="8"/>
  <c r="D44" i="8"/>
  <c r="C44" i="8"/>
  <c r="B44" i="8"/>
  <c r="B33" i="8"/>
  <c r="E10" i="8" s="1"/>
  <c r="B32" i="8"/>
  <c r="B30" i="8"/>
  <c r="B29" i="8"/>
  <c r="B28" i="8"/>
  <c r="B27" i="8"/>
  <c r="B26" i="8"/>
  <c r="B25" i="8"/>
  <c r="B24" i="8"/>
  <c r="B23" i="8"/>
  <c r="B22" i="8"/>
  <c r="E13" i="8"/>
  <c r="E6" i="8"/>
  <c r="B9" i="8"/>
  <c r="B7" i="8"/>
  <c r="F91" i="7"/>
  <c r="E91" i="7"/>
  <c r="D91" i="7"/>
  <c r="C91" i="7"/>
  <c r="B91" i="7"/>
  <c r="F90" i="7"/>
  <c r="E90" i="7"/>
  <c r="D90" i="7"/>
  <c r="C90" i="7"/>
  <c r="B90" i="7"/>
  <c r="F89" i="7"/>
  <c r="E89" i="7"/>
  <c r="D89" i="7"/>
  <c r="C89" i="7"/>
  <c r="B89" i="7"/>
  <c r="F88" i="7"/>
  <c r="E88" i="7"/>
  <c r="D88" i="7"/>
  <c r="C88" i="7"/>
  <c r="B88" i="7"/>
  <c r="F87" i="7"/>
  <c r="E87" i="7"/>
  <c r="D87" i="7"/>
  <c r="C87" i="7"/>
  <c r="B87" i="7"/>
  <c r="C81" i="7"/>
  <c r="C80" i="7"/>
  <c r="C79" i="7"/>
  <c r="C78" i="7"/>
  <c r="F82" i="7"/>
  <c r="E82" i="7"/>
  <c r="D82" i="7"/>
  <c r="C82" i="7"/>
  <c r="B82" i="7"/>
  <c r="F75" i="7"/>
  <c r="E75" i="7"/>
  <c r="D75" i="7"/>
  <c r="C75" i="7"/>
  <c r="B75" i="7"/>
  <c r="F73" i="7"/>
  <c r="F72" i="7"/>
  <c r="F71" i="7"/>
  <c r="F70" i="7"/>
  <c r="F68" i="7"/>
  <c r="E68" i="7"/>
  <c r="D68" i="7"/>
  <c r="C68" i="7"/>
  <c r="F67" i="7"/>
  <c r="E67" i="7"/>
  <c r="D67" i="7"/>
  <c r="C67" i="7"/>
  <c r="F66" i="7"/>
  <c r="E66" i="7"/>
  <c r="D66" i="7"/>
  <c r="C66" i="7"/>
  <c r="F64" i="7"/>
  <c r="E64" i="7"/>
  <c r="D64" i="7"/>
  <c r="C64" i="7"/>
  <c r="F63" i="7"/>
  <c r="E63" i="7"/>
  <c r="D63" i="7"/>
  <c r="E60" i="7" s="1"/>
  <c r="E61" i="7" s="1"/>
  <c r="E62" i="7" s="1"/>
  <c r="C63" i="7"/>
  <c r="D60" i="7" s="1"/>
  <c r="D61" i="7" s="1"/>
  <c r="D62" i="7" s="1"/>
  <c r="C62" i="7"/>
  <c r="C61" i="7"/>
  <c r="F60" i="7"/>
  <c r="F61" i="7" s="1"/>
  <c r="F62" i="7" s="1"/>
  <c r="C60" i="7"/>
  <c r="F55" i="7"/>
  <c r="E55" i="7"/>
  <c r="D55" i="7"/>
  <c r="C55" i="7"/>
  <c r="B55" i="7"/>
  <c r="F54" i="7"/>
  <c r="E54" i="7"/>
  <c r="D54" i="7"/>
  <c r="C54" i="7"/>
  <c r="B54" i="7"/>
  <c r="F53" i="7"/>
  <c r="E53" i="7"/>
  <c r="D53" i="7"/>
  <c r="C53" i="7"/>
  <c r="B53" i="7"/>
  <c r="F52" i="7"/>
  <c r="E52" i="7"/>
  <c r="D52" i="7"/>
  <c r="C52" i="7"/>
  <c r="B52" i="7"/>
  <c r="F51" i="7"/>
  <c r="E51" i="7"/>
  <c r="D51" i="7"/>
  <c r="C51" i="7"/>
  <c r="B51" i="7"/>
  <c r="F50" i="7"/>
  <c r="E50" i="7"/>
  <c r="D50" i="7"/>
  <c r="C50" i="7"/>
  <c r="B50" i="7"/>
  <c r="F47" i="7"/>
  <c r="E47" i="7"/>
  <c r="D47" i="7"/>
  <c r="C47" i="7"/>
  <c r="B47" i="7"/>
  <c r="F46" i="7"/>
  <c r="E46" i="7"/>
  <c r="D46" i="7"/>
  <c r="C46" i="7"/>
  <c r="B46" i="7"/>
  <c r="F44" i="7"/>
  <c r="E44" i="7"/>
  <c r="D44" i="7"/>
  <c r="C44" i="7"/>
  <c r="B44" i="7"/>
  <c r="E1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E13" i="7"/>
  <c r="E6" i="7"/>
  <c r="B9" i="7"/>
  <c r="B7" i="7"/>
  <c r="O7" i="5"/>
  <c r="O8" i="5"/>
  <c r="O10" i="5"/>
  <c r="O13" i="5"/>
  <c r="O14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4" i="5"/>
  <c r="O37" i="5"/>
  <c r="O133" i="5" s="1"/>
  <c r="O38" i="5"/>
  <c r="O39" i="5"/>
  <c r="O40" i="5"/>
  <c r="O41" i="5"/>
  <c r="O44" i="5"/>
  <c r="O45" i="5"/>
  <c r="O46" i="5"/>
  <c r="C47" i="5"/>
  <c r="O47" i="5"/>
  <c r="O50" i="5"/>
  <c r="O51" i="5"/>
  <c r="O54" i="5"/>
  <c r="O55" i="5"/>
  <c r="O56" i="5"/>
  <c r="O57" i="5"/>
  <c r="O58" i="5"/>
  <c r="O61" i="5"/>
  <c r="O62" i="5"/>
  <c r="O63" i="5"/>
  <c r="O66" i="5"/>
  <c r="O67" i="5"/>
  <c r="O68" i="5"/>
  <c r="O69" i="5"/>
  <c r="O70" i="5"/>
  <c r="O71" i="5"/>
  <c r="O72" i="5"/>
  <c r="O73" i="5"/>
  <c r="O76" i="5"/>
  <c r="O77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5" i="5"/>
  <c r="O96" i="5"/>
  <c r="O97" i="5"/>
  <c r="O100" i="5"/>
  <c r="O101" i="5"/>
  <c r="O104" i="5"/>
  <c r="O105" i="5"/>
  <c r="O108" i="5"/>
  <c r="O109" i="5"/>
  <c r="O128" i="5" s="1"/>
  <c r="O110" i="5"/>
  <c r="O129" i="5" s="1"/>
  <c r="O111" i="5"/>
  <c r="O112" i="5"/>
  <c r="O131" i="5" s="1"/>
  <c r="O114" i="5"/>
  <c r="O116" i="5"/>
  <c r="O118" i="5"/>
  <c r="B121" i="5"/>
  <c r="B122" i="5"/>
  <c r="C122" i="5"/>
  <c r="D122" i="5"/>
  <c r="E122" i="5"/>
  <c r="F122" i="5"/>
  <c r="G122" i="5"/>
  <c r="H122" i="5"/>
  <c r="I122" i="5"/>
  <c r="J122" i="5"/>
  <c r="K122" i="5"/>
  <c r="L122" i="5"/>
  <c r="M122" i="5"/>
  <c r="N122" i="5"/>
  <c r="O122" i="5"/>
  <c r="B123" i="5"/>
  <c r="C123" i="5"/>
  <c r="D123" i="5"/>
  <c r="E123" i="5"/>
  <c r="F123" i="5"/>
  <c r="G123" i="5"/>
  <c r="H123" i="5"/>
  <c r="I123" i="5"/>
  <c r="J123" i="5"/>
  <c r="K123" i="5"/>
  <c r="L123" i="5"/>
  <c r="M123" i="5"/>
  <c r="N123" i="5"/>
  <c r="O123" i="5"/>
  <c r="B124" i="5"/>
  <c r="C124" i="5"/>
  <c r="C135" i="5" s="1"/>
  <c r="C142" i="5" s="1"/>
  <c r="D124" i="5"/>
  <c r="D135" i="5" s="1"/>
  <c r="D142" i="5" s="1"/>
  <c r="E124" i="5"/>
  <c r="E135" i="5" s="1"/>
  <c r="E142" i="5" s="1"/>
  <c r="F124" i="5"/>
  <c r="F135" i="5" s="1"/>
  <c r="F142" i="5" s="1"/>
  <c r="G124" i="5"/>
  <c r="G135" i="5" s="1"/>
  <c r="G142" i="5" s="1"/>
  <c r="H124" i="5"/>
  <c r="H135" i="5" s="1"/>
  <c r="H142" i="5" s="1"/>
  <c r="I124" i="5"/>
  <c r="I135" i="5" s="1"/>
  <c r="I142" i="5" s="1"/>
  <c r="J124" i="5"/>
  <c r="J135" i="5" s="1"/>
  <c r="J142" i="5" s="1"/>
  <c r="K124" i="5"/>
  <c r="K135" i="5" s="1"/>
  <c r="K142" i="5" s="1"/>
  <c r="L124" i="5"/>
  <c r="L135" i="5" s="1"/>
  <c r="L142" i="5" s="1"/>
  <c r="M124" i="5"/>
  <c r="N124" i="5"/>
  <c r="O124" i="5"/>
  <c r="B126" i="5"/>
  <c r="B127" i="5"/>
  <c r="C127" i="5"/>
  <c r="D127" i="5"/>
  <c r="E127" i="5"/>
  <c r="F127" i="5"/>
  <c r="G127" i="5"/>
  <c r="H127" i="5"/>
  <c r="I127" i="5"/>
  <c r="J127" i="5"/>
  <c r="K127" i="5"/>
  <c r="L127" i="5"/>
  <c r="M127" i="5"/>
  <c r="N127" i="5"/>
  <c r="O127" i="5"/>
  <c r="B128" i="5"/>
  <c r="C128" i="5"/>
  <c r="D128" i="5"/>
  <c r="E128" i="5"/>
  <c r="F128" i="5"/>
  <c r="G128" i="5"/>
  <c r="H128" i="5"/>
  <c r="I128" i="5"/>
  <c r="J128" i="5"/>
  <c r="K128" i="5"/>
  <c r="L128" i="5"/>
  <c r="M128" i="5"/>
  <c r="N128" i="5"/>
  <c r="B129" i="5"/>
  <c r="C129" i="5"/>
  <c r="D129" i="5"/>
  <c r="E129" i="5"/>
  <c r="F129" i="5"/>
  <c r="G129" i="5"/>
  <c r="H129" i="5"/>
  <c r="I129" i="5"/>
  <c r="J129" i="5"/>
  <c r="K129" i="5"/>
  <c r="L129" i="5"/>
  <c r="M129" i="5"/>
  <c r="N129" i="5"/>
  <c r="B130" i="5"/>
  <c r="C130" i="5"/>
  <c r="D130" i="5"/>
  <c r="E130" i="5"/>
  <c r="F130" i="5"/>
  <c r="G130" i="5"/>
  <c r="H130" i="5"/>
  <c r="I130" i="5"/>
  <c r="J130" i="5"/>
  <c r="K130" i="5"/>
  <c r="L130" i="5"/>
  <c r="M130" i="5"/>
  <c r="N130" i="5"/>
  <c r="O130" i="5"/>
  <c r="B131" i="5"/>
  <c r="C131" i="5"/>
  <c r="D131" i="5"/>
  <c r="E131" i="5"/>
  <c r="F131" i="5"/>
  <c r="G131" i="5"/>
  <c r="H131" i="5"/>
  <c r="I131" i="5"/>
  <c r="J131" i="5"/>
  <c r="K131" i="5"/>
  <c r="L131" i="5"/>
  <c r="M131" i="5"/>
  <c r="N131" i="5"/>
  <c r="B133" i="5"/>
  <c r="C133" i="5"/>
  <c r="D133" i="5"/>
  <c r="E133" i="5"/>
  <c r="F133" i="5"/>
  <c r="G133" i="5"/>
  <c r="H133" i="5"/>
  <c r="I133" i="5"/>
  <c r="J133" i="5"/>
  <c r="K133" i="5"/>
  <c r="L133" i="5"/>
  <c r="M133" i="5"/>
  <c r="N133" i="5"/>
  <c r="M135" i="5"/>
  <c r="M142" i="5" s="1"/>
  <c r="N135" i="5"/>
  <c r="N142" i="5" s="1"/>
  <c r="C138" i="5"/>
  <c r="D138" i="5"/>
  <c r="E138" i="5"/>
  <c r="F138" i="5"/>
  <c r="G138" i="5"/>
  <c r="H138" i="5"/>
  <c r="I138" i="5"/>
  <c r="J138" i="5"/>
  <c r="J140" i="5" s="1"/>
  <c r="K138" i="5"/>
  <c r="K140" i="5" s="1"/>
  <c r="L138" i="5"/>
  <c r="L140" i="5" s="1"/>
  <c r="M138" i="5"/>
  <c r="M140" i="5" s="1"/>
  <c r="N138" i="5"/>
  <c r="N140" i="5" s="1"/>
  <c r="C140" i="5"/>
  <c r="D140" i="5"/>
  <c r="E140" i="5"/>
  <c r="F140" i="5"/>
  <c r="G140" i="5"/>
  <c r="H140" i="5"/>
  <c r="I140" i="5"/>
  <c r="O140" i="5"/>
  <c r="B34" i="8" l="1"/>
  <c r="O135" i="5"/>
  <c r="O142" i="5" s="1"/>
</calcChain>
</file>

<file path=xl/sharedStrings.xml><?xml version="1.0" encoding="utf-8"?>
<sst xmlns="http://schemas.openxmlformats.org/spreadsheetml/2006/main" count="3040" uniqueCount="1606">
  <si>
    <t>Income Statement - 12 Month</t>
  </si>
  <si>
    <r>
      <rPr>
        <b/>
        <sz val="11"/>
        <rFont val="Arial"/>
        <family val="2"/>
      </rPr>
      <t xml:space="preserve">Fund Type: </t>
    </r>
    <r>
      <rPr>
        <sz val="11"/>
        <rFont val="Arial"/>
        <family val="2"/>
      </rPr>
      <t>All</t>
    </r>
  </si>
  <si>
    <r>
      <rPr>
        <b/>
        <sz val="11"/>
        <rFont val="Arial"/>
        <family val="2"/>
      </rPr>
      <t xml:space="preserve">Period Range: </t>
    </r>
    <r>
      <rPr>
        <sz val="11"/>
        <rFont val="Arial"/>
        <family val="2"/>
      </rPr>
      <t>Apr 2025 to Mar 2026 (Trailing 12 Months)</t>
    </r>
  </si>
  <si>
    <r>
      <rPr>
        <b/>
        <sz val="11"/>
        <rFont val="Arial"/>
        <family val="2"/>
      </rPr>
      <t xml:space="preserve">Accounting Basis: </t>
    </r>
    <r>
      <rPr>
        <sz val="11"/>
        <rFont val="Arial"/>
        <family val="2"/>
      </rPr>
      <t>Accrual</t>
    </r>
  </si>
  <si>
    <r>
      <rPr>
        <b/>
        <sz val="11"/>
        <rFont val="Arial"/>
        <family val="2"/>
      </rPr>
      <t xml:space="preserve">GL Account Map: </t>
    </r>
    <r>
      <rPr>
        <sz val="11"/>
        <rFont val="Arial"/>
        <family val="2"/>
      </rPr>
      <t>None - use master chart of accounts</t>
    </r>
  </si>
  <si>
    <r>
      <rPr>
        <b/>
        <sz val="11"/>
        <rFont val="Arial"/>
        <family val="2"/>
      </rPr>
      <t xml:space="preserve">Level of Detail: </t>
    </r>
    <r>
      <rPr>
        <sz val="11"/>
        <rFont val="Arial"/>
        <family val="2"/>
      </rPr>
      <t>Detail View</t>
    </r>
  </si>
  <si>
    <r>
      <rPr>
        <b/>
        <sz val="11"/>
        <rFont val="Arial"/>
        <family val="2"/>
      </rPr>
      <t xml:space="preserve">Include Zero Balance GL Accounts: </t>
    </r>
    <r>
      <rPr>
        <sz val="11"/>
        <rFont val="Arial"/>
        <family val="2"/>
      </rPr>
      <t>No</t>
    </r>
  </si>
  <si>
    <t>Account Name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</si>
  <si>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</si>
  <si>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</si>
  <si>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</si>
  <si>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</si>
  <si>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</si>
  <si>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</si>
  <si>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</si>
  <si>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</si>
  <si>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</si>
  <si>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</si>
  <si>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</si>
  <si>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</si>
  <si>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Total</t>
  </si>
  <si>
    <t>Account Number</t>
  </si>
  <si>
    <t>Operating Income &amp; Expense</t>
  </si>
  <si>
    <t xml:space="preserve">    Income</t>
  </si>
  <si>
    <t xml:space="preserve">        Rental Income</t>
  </si>
  <si>
    <t xml:space="preserve">            Rent Income</t>
  </si>
  <si>
    <t>4002</t>
  </si>
  <si>
    <t xml:space="preserve">            Housing Choice Voucher- HUD or PCS</t>
  </si>
  <si>
    <t>4003</t>
  </si>
  <si>
    <t xml:space="preserve">            Concessions - Promotion</t>
  </si>
  <si>
    <t>4007</t>
  </si>
  <si>
    <t xml:space="preserve">            Concessions - Resident Concession</t>
  </si>
  <si>
    <t>4009</t>
  </si>
  <si>
    <t xml:space="preserve">            Concessions - Student Discount</t>
  </si>
  <si>
    <t>4010</t>
  </si>
  <si>
    <t xml:space="preserve">        Total Rental Income</t>
  </si>
  <si>
    <t xml:space="preserve">        Fee Income</t>
  </si>
  <si>
    <t xml:space="preserve">            Month-to-Month Fee</t>
  </si>
  <si>
    <t>4101</t>
  </si>
  <si>
    <t xml:space="preserve">            Late Fee</t>
  </si>
  <si>
    <t>4102</t>
  </si>
  <si>
    <t xml:space="preserve">            NSF Fee</t>
  </si>
  <si>
    <t>4104</t>
  </si>
  <si>
    <t xml:space="preserve">            One Time Pet Fee</t>
  </si>
  <si>
    <t>4105</t>
  </si>
  <si>
    <t xml:space="preserve">            Monthly Pet Fee</t>
  </si>
  <si>
    <t>4106</t>
  </si>
  <si>
    <t xml:space="preserve">            RBP Income</t>
  </si>
  <si>
    <t>4121</t>
  </si>
  <si>
    <t xml:space="preserve">            LLI Income</t>
  </si>
  <si>
    <t>4123</t>
  </si>
  <si>
    <t xml:space="preserve">            Beagle TLW</t>
  </si>
  <si>
    <t>4124</t>
  </si>
  <si>
    <t xml:space="preserve">        Total Fee Income</t>
  </si>
  <si>
    <t xml:space="preserve">        Pass Through</t>
  </si>
  <si>
    <t xml:space="preserve">            Fixed Utility Income</t>
  </si>
  <si>
    <t>4201</t>
  </si>
  <si>
    <t xml:space="preserve">        Total Pass Through</t>
  </si>
  <si>
    <t xml:space="preserve">        Deposit &amp; Maintenance Income</t>
  </si>
  <si>
    <t xml:space="preserve">            Surrendered Security Deposit</t>
  </si>
  <si>
    <t>4301</t>
  </si>
  <si>
    <t xml:space="preserve">            Resident Responsible - Labor</t>
  </si>
  <si>
    <t>4303</t>
  </si>
  <si>
    <t xml:space="preserve">            Resident Responsible - Supplies</t>
  </si>
  <si>
    <t>4304</t>
  </si>
  <si>
    <t xml:space="preserve">            Resident Responsible - Cleaning</t>
  </si>
  <si>
    <t>4305</t>
  </si>
  <si>
    <t xml:space="preserve">            Resident Responsible - Lockout/Lock Change</t>
  </si>
  <si>
    <t>4307</t>
  </si>
  <si>
    <t xml:space="preserve">            Resident Responsible - Plumbing</t>
  </si>
  <si>
    <t>4309</t>
  </si>
  <si>
    <t xml:space="preserve">            Resident Responsible - Haul Off</t>
  </si>
  <si>
    <t>4310</t>
  </si>
  <si>
    <t xml:space="preserve">            Resident Responsible - Miscellaneous </t>
  </si>
  <si>
    <t>4311</t>
  </si>
  <si>
    <t xml:space="preserve">        Total Deposit &amp; Maintenance Income</t>
  </si>
  <si>
    <t xml:space="preserve">        Other Income</t>
  </si>
  <si>
    <t xml:space="preserve">            Laundry Income</t>
  </si>
  <si>
    <t>4401</t>
  </si>
  <si>
    <t xml:space="preserve">            Cable/Internet Income</t>
  </si>
  <si>
    <t>4406</t>
  </si>
  <si>
    <t xml:space="preserve">            Miscellaneous Income</t>
  </si>
  <si>
    <t>4407</t>
  </si>
  <si>
    <t xml:space="preserve">        Total Other Income</t>
  </si>
  <si>
    <t xml:space="preserve">        Management Income</t>
  </si>
  <si>
    <t xml:space="preserve">            Management Supplies Income</t>
  </si>
  <si>
    <t>4702</t>
  </si>
  <si>
    <t xml:space="preserve">        Total Management Income</t>
  </si>
  <si>
    <t xml:space="preserve">    Total Operating Income</t>
  </si>
  <si>
    <t xml:space="preserve">    Expense</t>
  </si>
  <si>
    <t xml:space="preserve">        Expenses</t>
  </si>
  <si>
    <t xml:space="preserve">            General &amp; Administrative</t>
  </si>
  <si>
    <t xml:space="preserve">                Bank Fees</t>
  </si>
  <si>
    <t>6009</t>
  </si>
  <si>
    <t xml:space="preserve">                Advertising</t>
  </si>
  <si>
    <t>6010</t>
  </si>
  <si>
    <t xml:space="preserve">                Management Fees</t>
  </si>
  <si>
    <t>6014</t>
  </si>
  <si>
    <t xml:space="preserve">                Postage and Delivery</t>
  </si>
  <si>
    <t>6015</t>
  </si>
  <si>
    <t xml:space="preserve">            Total General &amp; Administrative</t>
  </si>
  <si>
    <t xml:space="preserve">        Total Expenses</t>
  </si>
  <si>
    <t xml:space="preserve">        Repairs &amp; Maintenance</t>
  </si>
  <si>
    <t xml:space="preserve">            Maintenance</t>
  </si>
  <si>
    <t>6101</t>
  </si>
  <si>
    <t xml:space="preserve">            Plumbing Repairs</t>
  </si>
  <si>
    <t>6104</t>
  </si>
  <si>
    <t xml:space="preserve">            Electrical Repairs</t>
  </si>
  <si>
    <t>6105</t>
  </si>
  <si>
    <t xml:space="preserve">            Lock Sets</t>
  </si>
  <si>
    <t>6106</t>
  </si>
  <si>
    <t xml:space="preserve">            Pest Control</t>
  </si>
  <si>
    <t>6107</t>
  </si>
  <si>
    <t xml:space="preserve">            Repairs</t>
  </si>
  <si>
    <t>6108</t>
  </si>
  <si>
    <t xml:space="preserve">            Supplies</t>
  </si>
  <si>
    <t>6110</t>
  </si>
  <si>
    <t xml:space="preserve">            Contractor Labor </t>
  </si>
  <si>
    <t>6114</t>
  </si>
  <si>
    <t xml:space="preserve">            Air filter Maintenance</t>
  </si>
  <si>
    <t>6190</t>
  </si>
  <si>
    <t xml:space="preserve">        Total Repairs &amp; Maintenance</t>
  </si>
  <si>
    <t xml:space="preserve">        Contracted Services</t>
  </si>
  <si>
    <t xml:space="preserve">            Landscaping</t>
  </si>
  <si>
    <t>6201</t>
  </si>
  <si>
    <t xml:space="preserve">            Haul trash</t>
  </si>
  <si>
    <t>6202</t>
  </si>
  <si>
    <t xml:space="preserve">            Vendor Property Trash Removal</t>
  </si>
  <si>
    <t>6210</t>
  </si>
  <si>
    <t xml:space="preserve">        Total Contracted Services</t>
  </si>
  <si>
    <t xml:space="preserve">        Cleaning &amp; Janitorial</t>
  </si>
  <si>
    <t xml:space="preserve">            Cleaning</t>
  </si>
  <si>
    <t>6301</t>
  </si>
  <si>
    <t xml:space="preserve">            Carpet Cleaning</t>
  </si>
  <si>
    <t>6302</t>
  </si>
  <si>
    <t xml:space="preserve">        Total Cleaning &amp; Janitorial</t>
  </si>
  <si>
    <t xml:space="preserve">        Utility Expenses</t>
  </si>
  <si>
    <t xml:space="preserve">            Utilities</t>
  </si>
  <si>
    <t>6401</t>
  </si>
  <si>
    <t xml:space="preserve">            Utilities Electric</t>
  </si>
  <si>
    <t>6402</t>
  </si>
  <si>
    <t xml:space="preserve">            Utilities Gas</t>
  </si>
  <si>
    <t>6403</t>
  </si>
  <si>
    <t xml:space="preserve">            Utilities Water</t>
  </si>
  <si>
    <t>6404</t>
  </si>
  <si>
    <t xml:space="preserve">        Total Utility Expenses</t>
  </si>
  <si>
    <t xml:space="preserve">        Tax Expenses</t>
  </si>
  <si>
    <t xml:space="preserve">            Property Taxes</t>
  </si>
  <si>
    <t>6501</t>
  </si>
  <si>
    <t xml:space="preserve">        Total Tax Expenses</t>
  </si>
  <si>
    <t xml:space="preserve">        Insurance Expenses</t>
  </si>
  <si>
    <t xml:space="preserve">            Insurance </t>
  </si>
  <si>
    <t>6601</t>
  </si>
  <si>
    <t xml:space="preserve">        Total Insurance Expenses</t>
  </si>
  <si>
    <t xml:space="preserve">        Onsite Salaries &amp; Wages</t>
  </si>
  <si>
    <t xml:space="preserve">            Onsite Maintenance</t>
  </si>
  <si>
    <t>6701</t>
  </si>
  <si>
    <t xml:space="preserve">            On Site Manger</t>
  </si>
  <si>
    <t>6702</t>
  </si>
  <si>
    <t xml:space="preserve">            On Site Assistant Manager</t>
  </si>
  <si>
    <t>6703</t>
  </si>
  <si>
    <t xml:space="preserve">        Total Onsite Salaries &amp; Wages</t>
  </si>
  <si>
    <t xml:space="preserve">        Misc. Operating Expenses</t>
  </si>
  <si>
    <t xml:space="preserve">            Other Expenses</t>
  </si>
  <si>
    <t>6901</t>
  </si>
  <si>
    <t xml:space="preserve">            Court Cost-Eviction</t>
  </si>
  <si>
    <t>6903</t>
  </si>
  <si>
    <t xml:space="preserve">            Office Supplies</t>
  </si>
  <si>
    <t>6910</t>
  </si>
  <si>
    <t xml:space="preserve">            Security System</t>
  </si>
  <si>
    <t>6918</t>
  </si>
  <si>
    <t xml:space="preserve">        Total Misc. Operating Expenses</t>
  </si>
  <si>
    <t xml:space="preserve">    Total Operating Expense</t>
  </si>
  <si>
    <t xml:space="preserve">    NOI - Net Operating Income</t>
  </si>
  <si>
    <t>Other Income &amp; Expense</t>
  </si>
  <si>
    <t xml:space="preserve">    Other Expense</t>
  </si>
  <si>
    <t xml:space="preserve">        Debt Service</t>
  </si>
  <si>
    <t xml:space="preserve">            Interest only loan payment</t>
  </si>
  <si>
    <t>7053</t>
  </si>
  <si>
    <t xml:space="preserve">        Total Debt Service</t>
  </si>
  <si>
    <t xml:space="preserve">        Other Expenses (Non-Operating)</t>
  </si>
  <si>
    <t xml:space="preserve">            Other Interest Expense</t>
  </si>
  <si>
    <t>8202</t>
  </si>
  <si>
    <t xml:space="preserve">        Total Other Expenses (Non-Operating)</t>
  </si>
  <si>
    <t xml:space="preserve">    Total Other Expense</t>
  </si>
  <si>
    <t xml:space="preserve">    Net Other Income</t>
  </si>
  <si>
    <t xml:space="preserve">    Total Income</t>
  </si>
  <si>
    <t xml:space="preserve">    Total Expense</t>
  </si>
  <si>
    <t xml:space="preserve">    Net Income</t>
  </si>
  <si>
    <t>92.9% Occupied</t>
  </si>
  <si>
    <t>Total 112 Units</t>
  </si>
  <si>
    <t>112 Units</t>
  </si>
  <si>
    <t>Current</t>
  </si>
  <si>
    <t>Angel N. Mangmoradeth</t>
  </si>
  <si>
    <t>2/1.50</t>
  </si>
  <si>
    <t>234E</t>
  </si>
  <si>
    <t>Rayemond D. Teel</t>
  </si>
  <si>
    <t>233E</t>
  </si>
  <si>
    <t>Colby L. Sea</t>
  </si>
  <si>
    <t>232E</t>
  </si>
  <si>
    <t>Dana  Quincy</t>
  </si>
  <si>
    <t>231E</t>
  </si>
  <si>
    <t>Rosie  N. Rockmore</t>
  </si>
  <si>
    <t>230E</t>
  </si>
  <si>
    <t>Cory S. Scholz</t>
  </si>
  <si>
    <t>229E</t>
  </si>
  <si>
    <t>Tiffany R. Reese</t>
  </si>
  <si>
    <t>228E</t>
  </si>
  <si>
    <t>Vacant-Rented</t>
  </si>
  <si>
    <t>227E</t>
  </si>
  <si>
    <t>Kyeley  R. Webb</t>
  </si>
  <si>
    <t>1/1.00</t>
  </si>
  <si>
    <t>226W</t>
  </si>
  <si>
    <t>226E</t>
  </si>
  <si>
    <t>Laythan A. Wallace</t>
  </si>
  <si>
    <t>225W</t>
  </si>
  <si>
    <t>Evict</t>
  </si>
  <si>
    <t>Justice A. Stevens</t>
  </si>
  <si>
    <t>225E</t>
  </si>
  <si>
    <t>Jamie Holland</t>
  </si>
  <si>
    <t>224W</t>
  </si>
  <si>
    <t>Blake J. Wessel</t>
  </si>
  <si>
    <t>224E</t>
  </si>
  <si>
    <t>Notice-Unrented</t>
  </si>
  <si>
    <t>Quintin  A. Hanson</t>
  </si>
  <si>
    <t>223W</t>
  </si>
  <si>
    <t>Autumn R. Bennett</t>
  </si>
  <si>
    <t>223E</t>
  </si>
  <si>
    <t>Ryan A. Johnson</t>
  </si>
  <si>
    <t>222W</t>
  </si>
  <si>
    <t>Crescence A. Miller</t>
  </si>
  <si>
    <t>222E</t>
  </si>
  <si>
    <t>Sandy Balentine</t>
  </si>
  <si>
    <t>221W</t>
  </si>
  <si>
    <t>Vacant-Unrented</t>
  </si>
  <si>
    <t>221E</t>
  </si>
  <si>
    <t>Dalton T. Barrett</t>
  </si>
  <si>
    <t>220W</t>
  </si>
  <si>
    <t>Maria  D. Cabrera</t>
  </si>
  <si>
    <t>220E</t>
  </si>
  <si>
    <t>Chelsea  M. Taylor</t>
  </si>
  <si>
    <t>3/2.00</t>
  </si>
  <si>
    <t>219W</t>
  </si>
  <si>
    <t>Haylie  I. Hernnandez</t>
  </si>
  <si>
    <t>219E</t>
  </si>
  <si>
    <t>Michael Alexander</t>
  </si>
  <si>
    <t>218W</t>
  </si>
  <si>
    <t>Sherry R. Polite</t>
  </si>
  <si>
    <t>218E</t>
  </si>
  <si>
    <t>Tametris March</t>
  </si>
  <si>
    <t>217W</t>
  </si>
  <si>
    <t>Benjamin W. Tyson</t>
  </si>
  <si>
    <t>217E</t>
  </si>
  <si>
    <t>Katelyn  J. Gunter</t>
  </si>
  <si>
    <t>216W</t>
  </si>
  <si>
    <t>Trienan C. Haiduk</t>
  </si>
  <si>
    <t>216E</t>
  </si>
  <si>
    <t>Joshua L. Edwards</t>
  </si>
  <si>
    <t>215W</t>
  </si>
  <si>
    <t>Elijah A. Pardee</t>
  </si>
  <si>
    <t>215E</t>
  </si>
  <si>
    <t>Miguel D. Candanedo</t>
  </si>
  <si>
    <t>214W</t>
  </si>
  <si>
    <t>Brandon M. Williams</t>
  </si>
  <si>
    <t>214E</t>
  </si>
  <si>
    <t>Ashlie  P. Montoya</t>
  </si>
  <si>
    <t>213W</t>
  </si>
  <si>
    <t>Corey L. Million</t>
  </si>
  <si>
    <t>213E</t>
  </si>
  <si>
    <t>Easton T. West</t>
  </si>
  <si>
    <t>212W</t>
  </si>
  <si>
    <t>Jamey C. Tevebaugh</t>
  </si>
  <si>
    <t>212E</t>
  </si>
  <si>
    <t>Margaret K. Ardry</t>
  </si>
  <si>
    <t>211W</t>
  </si>
  <si>
    <t>Juan Sanjavier</t>
  </si>
  <si>
    <t>211E</t>
  </si>
  <si>
    <t>Myrella A. Garcia</t>
  </si>
  <si>
    <t>210W</t>
  </si>
  <si>
    <t>Marco A. Saenz</t>
  </si>
  <si>
    <t>210E</t>
  </si>
  <si>
    <t>Kerry D. Kilpatrick</t>
  </si>
  <si>
    <t>209W</t>
  </si>
  <si>
    <t>Melissa S. Bittner</t>
  </si>
  <si>
    <t>209E</t>
  </si>
  <si>
    <t>Michael A. Reynolds</t>
  </si>
  <si>
    <t>208W</t>
  </si>
  <si>
    <t>208E</t>
  </si>
  <si>
    <t>Jeremy D. Wesley</t>
  </si>
  <si>
    <t>207W</t>
  </si>
  <si>
    <t>Kalija V. Bell</t>
  </si>
  <si>
    <t>207E</t>
  </si>
  <si>
    <t>Erik J. Reimers</t>
  </si>
  <si>
    <t>206W</t>
  </si>
  <si>
    <t>Aurelia C. Valenzuela</t>
  </si>
  <si>
    <t>206E</t>
  </si>
  <si>
    <t>Israel X. Ramos</t>
  </si>
  <si>
    <t>205W</t>
  </si>
  <si>
    <t>Alitash I. Eubank</t>
  </si>
  <si>
    <t>205E</t>
  </si>
  <si>
    <t>Gary M. Vandiver</t>
  </si>
  <si>
    <t>204W</t>
  </si>
  <si>
    <t>Javier  J. Delgado Torres</t>
  </si>
  <si>
    <t>204E</t>
  </si>
  <si>
    <t>Austin B. Walsh</t>
  </si>
  <si>
    <t>203W</t>
  </si>
  <si>
    <t>Haley N. Garza</t>
  </si>
  <si>
    <t>203E</t>
  </si>
  <si>
    <t>Stephon D. Woods</t>
  </si>
  <si>
    <t>202W</t>
  </si>
  <si>
    <t>Ethan B. Borden</t>
  </si>
  <si>
    <t>202E</t>
  </si>
  <si>
    <t>Harvey R. Patteson</t>
  </si>
  <si>
    <t>201W</t>
  </si>
  <si>
    <t>Madison R. Moore</t>
  </si>
  <si>
    <t>201E</t>
  </si>
  <si>
    <t>Grant A. Cox</t>
  </si>
  <si>
    <t>128E</t>
  </si>
  <si>
    <t>John  R. Meehan</t>
  </si>
  <si>
    <t>127E</t>
  </si>
  <si>
    <t>126E</t>
  </si>
  <si>
    <t>Anthony T. McKnight</t>
  </si>
  <si>
    <t>125E</t>
  </si>
  <si>
    <t>Gregorio  Villanueva</t>
  </si>
  <si>
    <t>124W</t>
  </si>
  <si>
    <t>Bryan T. Blankenburg</t>
  </si>
  <si>
    <t>124E</t>
  </si>
  <si>
    <t>Michael W. Pilkington</t>
  </si>
  <si>
    <t>123W</t>
  </si>
  <si>
    <t>123E</t>
  </si>
  <si>
    <t>Davon R. Hart</t>
  </si>
  <si>
    <t>122W</t>
  </si>
  <si>
    <t>122E</t>
  </si>
  <si>
    <t>Katiuska N. Pulido</t>
  </si>
  <si>
    <t>121W</t>
  </si>
  <si>
    <t>Landan  R. Mclain</t>
  </si>
  <si>
    <t>2/1.00</t>
  </si>
  <si>
    <t>121E</t>
  </si>
  <si>
    <t>Colby J. Williams</t>
  </si>
  <si>
    <t>120W</t>
  </si>
  <si>
    <t>Teresa S. Villegas</t>
  </si>
  <si>
    <t>0/1.00</t>
  </si>
  <si>
    <t>120E</t>
  </si>
  <si>
    <t>Justin L. Utera</t>
  </si>
  <si>
    <t>119W</t>
  </si>
  <si>
    <t>Yesenia Davila</t>
  </si>
  <si>
    <t>119E</t>
  </si>
  <si>
    <t>Christopher Mitchell</t>
  </si>
  <si>
    <t>118W</t>
  </si>
  <si>
    <t>Cassandra K. Gonzales</t>
  </si>
  <si>
    <t>118E</t>
  </si>
  <si>
    <t>Kerry L. Dittrich</t>
  </si>
  <si>
    <t>117W</t>
  </si>
  <si>
    <t>Rolando G. Rodriguez</t>
  </si>
  <si>
    <t>117E</t>
  </si>
  <si>
    <t>Notice-Rented</t>
  </si>
  <si>
    <t>Joseph D. Moore</t>
  </si>
  <si>
    <t>116W</t>
  </si>
  <si>
    <t>Shuquetia R. Dexter</t>
  </si>
  <si>
    <t>116E</t>
  </si>
  <si>
    <t>Amanda R. Montez</t>
  </si>
  <si>
    <t>115W</t>
  </si>
  <si>
    <t>Suzette A. Marsh</t>
  </si>
  <si>
    <t>115E</t>
  </si>
  <si>
    <t>Pablo S. Davila</t>
  </si>
  <si>
    <t>114W</t>
  </si>
  <si>
    <t>Jorden N. Zimmermann</t>
  </si>
  <si>
    <t>114E</t>
  </si>
  <si>
    <t>Travis  L. Hart</t>
  </si>
  <si>
    <t>113W</t>
  </si>
  <si>
    <t>Paul Maurice</t>
  </si>
  <si>
    <t>113E</t>
  </si>
  <si>
    <t>Robert  C. Lyons</t>
  </si>
  <si>
    <t>112W</t>
  </si>
  <si>
    <t>Tara Pantel</t>
  </si>
  <si>
    <t>112E</t>
  </si>
  <si>
    <t>Terry Morford</t>
  </si>
  <si>
    <t>111W</t>
  </si>
  <si>
    <t>Kaylee H. Bunt</t>
  </si>
  <si>
    <t>111E</t>
  </si>
  <si>
    <t>Christopher C. Hood</t>
  </si>
  <si>
    <t>110W</t>
  </si>
  <si>
    <t>110E</t>
  </si>
  <si>
    <t>Nichole A. Servantez</t>
  </si>
  <si>
    <t>109W</t>
  </si>
  <si>
    <t>Meagon R. Laws</t>
  </si>
  <si>
    <t>109E</t>
  </si>
  <si>
    <t>Chris  K. Even</t>
  </si>
  <si>
    <t>108W</t>
  </si>
  <si>
    <t>Jiorge Ayala</t>
  </si>
  <si>
    <t>108E</t>
  </si>
  <si>
    <t>Quinston  C. Graves</t>
  </si>
  <si>
    <t>107W</t>
  </si>
  <si>
    <t>Natalia  Garza</t>
  </si>
  <si>
    <t>107E</t>
  </si>
  <si>
    <t>Charles L. Lutz</t>
  </si>
  <si>
    <t>106W</t>
  </si>
  <si>
    <t>Torrey Welch</t>
  </si>
  <si>
    <t>106E</t>
  </si>
  <si>
    <t>Mary C. Purviance</t>
  </si>
  <si>
    <t>105W</t>
  </si>
  <si>
    <t>Adam C. Chinea</t>
  </si>
  <si>
    <t>105E</t>
  </si>
  <si>
    <t>Ruby Renteria</t>
  </si>
  <si>
    <t>104W</t>
  </si>
  <si>
    <t>Bobby R. Lamb</t>
  </si>
  <si>
    <t>104E</t>
  </si>
  <si>
    <t>Selena Montes</t>
  </si>
  <si>
    <t>103W</t>
  </si>
  <si>
    <t>Tiarra L. Harris</t>
  </si>
  <si>
    <t>103E</t>
  </si>
  <si>
    <t>Ransom B. Wilson</t>
  </si>
  <si>
    <t>102W</t>
  </si>
  <si>
    <t>David M. Ardoff</t>
  </si>
  <si>
    <t>102E</t>
  </si>
  <si>
    <t>Jackie L. Clark</t>
  </si>
  <si>
    <t>101W</t>
  </si>
  <si>
    <t>Alejandra M. Lopez</t>
  </si>
  <si>
    <t>101E</t>
  </si>
  <si>
    <t>Monthly Rent / SF</t>
  </si>
  <si>
    <t>Move-out</t>
  </si>
  <si>
    <t>Move-in</t>
  </si>
  <si>
    <t>Lease To</t>
  </si>
  <si>
    <t>Lease From</t>
  </si>
  <si>
    <t>Deposit</t>
  </si>
  <si>
    <t>Rent</t>
  </si>
  <si>
    <t>Market Rent</t>
  </si>
  <si>
    <t>Sqft</t>
  </si>
  <si>
    <t>Status</t>
  </si>
  <si>
    <t>Tenant</t>
  </si>
  <si>
    <t>BD/BA</t>
  </si>
  <si>
    <t>Unit</t>
  </si>
  <si>
    <r>
      <rPr>
        <b/>
        <sz val="11"/>
        <rFont val="Arial"/>
        <family val="2"/>
      </rPr>
      <t xml:space="preserve">Include Non-Revenue Units: </t>
    </r>
    <r>
      <rPr>
        <sz val="11"/>
        <rFont val="Arial"/>
        <family val="2"/>
      </rPr>
      <t>No</t>
    </r>
  </si>
  <si>
    <r>
      <rPr>
        <b/>
        <sz val="11"/>
        <rFont val="Arial"/>
        <family val="2"/>
      </rPr>
      <t xml:space="preserve">Units: </t>
    </r>
    <r>
      <rPr>
        <sz val="11"/>
        <rFont val="Arial"/>
        <family val="2"/>
      </rPr>
      <t>Active</t>
    </r>
  </si>
  <si>
    <t>Rent Roll</t>
  </si>
  <si>
    <t>Net Operating Income (NOI)</t>
  </si>
  <si>
    <t>Total Operating Expenses</t>
  </si>
  <si>
    <t>NOI</t>
  </si>
  <si>
    <t>Total NON-CONTROLLABLE</t>
  </si>
  <si>
    <t>PROPERTY TAX</t>
  </si>
  <si>
    <t>PROPERTY INSURANCE</t>
  </si>
  <si>
    <t>Total PROPERTY MANAGEMENT FEE</t>
  </si>
  <si>
    <t>NON-CONTROLLABLE</t>
  </si>
  <si>
    <t>2. OPERATING EXPENSES (NON-CONTROLLABLE)</t>
  </si>
  <si>
    <t>Total 1. OPERATING EXPENSES (CONTROLLABLE)</t>
  </si>
  <si>
    <t>Total CONTROLLABLE EXPENSES</t>
  </si>
  <si>
    <t>UTILITY - WATER</t>
  </si>
  <si>
    <t>UTILITY - TRASH</t>
  </si>
  <si>
    <t>UTILITY - GAS</t>
  </si>
  <si>
    <t>UTILITY - ELECTRIC</t>
  </si>
  <si>
    <t>TELEPHONE / INTERNET</t>
  </si>
  <si>
    <t>SUPPLIES</t>
  </si>
  <si>
    <t>SECURITY</t>
  </si>
  <si>
    <t>LICENSE / PERMITS</t>
  </si>
  <si>
    <t>SOFTWARE / SUBSCRIPTIONS</t>
  </si>
  <si>
    <t>PEST CONTROL</t>
  </si>
  <si>
    <t>PAYROLL OFFICE TEAM</t>
  </si>
  <si>
    <t>PAYROLL MAINTENANCE TEAM</t>
  </si>
  <si>
    <t>LANDSCAPING</t>
  </si>
  <si>
    <t>COURT / EVICTION FEES</t>
  </si>
  <si>
    <t>CONTRACT SERVICES - ALL OTHER / REPAIRS &amp; MAINTENANCE</t>
  </si>
  <si>
    <t>CONTROLLABLE EXPENSES</t>
  </si>
  <si>
    <t>1. OPERATING EXPENSES (CONTROLLABLE)</t>
  </si>
  <si>
    <t>Expenses</t>
  </si>
  <si>
    <t>Total Operating Income</t>
  </si>
  <si>
    <t>MISCELLANEOUS INCOME</t>
  </si>
  <si>
    <t>TENANT IMPROVEMENTS</t>
  </si>
  <si>
    <t>PARKING INCOME</t>
  </si>
  <si>
    <t>TOTAL FEES</t>
  </si>
  <si>
    <t>Utility Reimbursement Fee</t>
  </si>
  <si>
    <t>Late Fee</t>
  </si>
  <si>
    <t>Risk Fee</t>
  </si>
  <si>
    <t>Application Fee</t>
  </si>
  <si>
    <t>Admin Fee</t>
  </si>
  <si>
    <t>Pet Fee</t>
  </si>
  <si>
    <t>Transfer Fee</t>
  </si>
  <si>
    <t>NSF Fees Collected</t>
  </si>
  <si>
    <t>FEES</t>
  </si>
  <si>
    <t>CONCESSIONS</t>
  </si>
  <si>
    <t>TOTAL RENTS</t>
  </si>
  <si>
    <t>RENTAL INCOME</t>
  </si>
  <si>
    <t>Income</t>
  </si>
  <si>
    <t>May-26</t>
  </si>
  <si>
    <t>Apr-26</t>
  </si>
  <si>
    <t>Mar-26</t>
  </si>
  <si>
    <t>Feb-26</t>
  </si>
  <si>
    <t>Jan-26</t>
  </si>
  <si>
    <t>Dec-25</t>
  </si>
  <si>
    <t>Nov-25</t>
  </si>
  <si>
    <t>Oct-25</t>
  </si>
  <si>
    <t>Sep-25</t>
  </si>
  <si>
    <t>Aug-25</t>
  </si>
  <si>
    <t>Jul-25</t>
  </si>
  <si>
    <t>Jun-25</t>
  </si>
  <si>
    <t>Rolling 12 Month</t>
  </si>
  <si>
    <t>Profit and Loss by Month</t>
  </si>
  <si>
    <t>Oak Cliff Multifamily</t>
  </si>
  <si>
    <r>
      <rPr>
        <b/>
        <sz val="8"/>
        <color rgb="FF363636"/>
        <rFont val="Arial"/>
        <family val="2"/>
      </rPr>
      <t>91.2% Occupied</t>
    </r>
  </si>
  <si>
    <r>
      <rPr>
        <b/>
        <sz val="8"/>
        <color rgb="FF363636"/>
        <rFont val="Arial"/>
        <family val="2"/>
      </rPr>
      <t xml:space="preserve">Total 136
</t>
    </r>
    <r>
      <rPr>
        <b/>
        <sz val="8"/>
        <color rgb="FF363636"/>
        <rFont val="Arial"/>
        <family val="2"/>
      </rPr>
      <t>Units</t>
    </r>
  </si>
  <si>
    <r>
      <rPr>
        <sz val="8"/>
        <color rgb="FF363636"/>
        <rFont val="Arial MT"/>
        <family val="2"/>
      </rPr>
      <t>Current</t>
    </r>
  </si>
  <si>
    <r>
      <rPr>
        <sz val="8"/>
        <color rgb="FF363636"/>
        <rFont val="Arial MT"/>
        <family val="2"/>
      </rPr>
      <t>Lutha Simmons (MHA-VET-VOUCHER)</t>
    </r>
  </si>
  <si>
    <t>1/1</t>
  </si>
  <si>
    <r>
      <rPr>
        <sz val="8"/>
        <color rgb="FF363636"/>
        <rFont val="Arial MT"/>
        <family val="2"/>
      </rPr>
      <t>Unit1/1.00 624</t>
    </r>
  </si>
  <si>
    <r>
      <rPr>
        <sz val="8"/>
        <color rgb="FF363636"/>
        <rFont val="Arial MT"/>
        <family val="2"/>
      </rPr>
      <t>Kadaryl Ervin</t>
    </r>
  </si>
  <si>
    <t>2/1</t>
  </si>
  <si>
    <r>
      <rPr>
        <sz val="8"/>
        <color rgb="FF363636"/>
        <rFont val="Arial MT"/>
        <family val="2"/>
      </rPr>
      <t>Unit2/1.00 623</t>
    </r>
  </si>
  <si>
    <r>
      <rPr>
        <sz val="8"/>
        <color rgb="FF363636"/>
        <rFont val="Arial MT"/>
        <family val="2"/>
      </rPr>
      <t>Neontray Washington</t>
    </r>
  </si>
  <si>
    <r>
      <rPr>
        <sz val="8"/>
        <color rgb="FF363636"/>
        <rFont val="Arial MT"/>
        <family val="2"/>
      </rPr>
      <t>Unit1/1.00 622</t>
    </r>
  </si>
  <si>
    <r>
      <rPr>
        <sz val="8"/>
        <color rgb="FF363636"/>
        <rFont val="Arial MT"/>
        <family val="2"/>
      </rPr>
      <t>Jake Adams</t>
    </r>
  </si>
  <si>
    <r>
      <rPr>
        <sz val="8"/>
        <color rgb="FF363636"/>
        <rFont val="Arial MT"/>
        <family val="2"/>
      </rPr>
      <t>Unit2/1.00 621</t>
    </r>
  </si>
  <si>
    <r>
      <rPr>
        <sz val="8"/>
        <color rgb="FF363636"/>
        <rFont val="Arial MT"/>
        <family val="2"/>
      </rPr>
      <t>Vacant-Rented</t>
    </r>
  </si>
  <si>
    <r>
      <rPr>
        <sz val="8"/>
        <color rgb="FF363636"/>
        <rFont val="Arial MT"/>
        <family val="2"/>
      </rPr>
      <t>Unit1/1.00 620</t>
    </r>
  </si>
  <si>
    <r>
      <rPr>
        <sz val="8"/>
        <color rgb="FF363636"/>
        <rFont val="Arial MT"/>
        <family val="2"/>
      </rPr>
      <t>Sabrina Pitts</t>
    </r>
  </si>
  <si>
    <r>
      <rPr>
        <sz val="8"/>
        <color rgb="FF363636"/>
        <rFont val="Arial MT"/>
        <family val="2"/>
      </rPr>
      <t>Unit2/1.00 619</t>
    </r>
  </si>
  <si>
    <r>
      <rPr>
        <sz val="8"/>
        <color rgb="FF363636"/>
        <rFont val="Arial MT"/>
        <family val="2"/>
      </rPr>
      <t>Heavenly Boyd</t>
    </r>
  </si>
  <si>
    <r>
      <rPr>
        <sz val="8"/>
        <color rgb="FF363636"/>
        <rFont val="Arial MT"/>
        <family val="2"/>
      </rPr>
      <t>Unit1/1.00 618</t>
    </r>
  </si>
  <si>
    <r>
      <rPr>
        <sz val="8"/>
        <color rgb="FF363636"/>
        <rFont val="Arial MT"/>
        <family val="2"/>
      </rPr>
      <t>Ariel Harrison</t>
    </r>
  </si>
  <si>
    <r>
      <rPr>
        <sz val="8"/>
        <color rgb="FF363636"/>
        <rFont val="Arial MT"/>
        <family val="2"/>
      </rPr>
      <t>Unit2/1.00 617</t>
    </r>
  </si>
  <si>
    <r>
      <rPr>
        <sz val="8"/>
        <color rgb="FF363636"/>
        <rFont val="Arial MT"/>
        <family val="2"/>
      </rPr>
      <t>James Austin</t>
    </r>
  </si>
  <si>
    <r>
      <rPr>
        <sz val="8"/>
        <color rgb="FF363636"/>
        <rFont val="Arial MT"/>
        <family val="2"/>
      </rPr>
      <t>Unit2/1.00 616</t>
    </r>
  </si>
  <si>
    <r>
      <rPr>
        <sz val="8"/>
        <color rgb="FF363636"/>
        <rFont val="Arial MT"/>
        <family val="2"/>
      </rPr>
      <t>Maya Stevens</t>
    </r>
  </si>
  <si>
    <r>
      <rPr>
        <sz val="8"/>
        <color rgb="FF363636"/>
        <rFont val="Arial MT"/>
        <family val="2"/>
      </rPr>
      <t>Unit2/1.00 615</t>
    </r>
  </si>
  <si>
    <r>
      <rPr>
        <sz val="8"/>
        <color rgb="FF363636"/>
        <rFont val="Arial MT"/>
        <family val="2"/>
      </rPr>
      <t>Christopher Barber</t>
    </r>
  </si>
  <si>
    <r>
      <rPr>
        <sz val="8"/>
        <color rgb="FF363636"/>
        <rFont val="Arial MT"/>
        <family val="2"/>
      </rPr>
      <t>Unit2/1.00 614</t>
    </r>
  </si>
  <si>
    <r>
      <rPr>
        <sz val="8"/>
        <color rgb="FF363636"/>
        <rFont val="Arial MT"/>
        <family val="2"/>
      </rPr>
      <t>Arlene Harrison</t>
    </r>
  </si>
  <si>
    <r>
      <rPr>
        <sz val="8"/>
        <color rgb="FF363636"/>
        <rFont val="Arial MT"/>
        <family val="2"/>
      </rPr>
      <t>Unit2/1.00 613</t>
    </r>
  </si>
  <si>
    <r>
      <rPr>
        <sz val="8"/>
        <color rgb="FF363636"/>
        <rFont val="Arial MT"/>
        <family val="2"/>
      </rPr>
      <t>Delijah Thompson</t>
    </r>
  </si>
  <si>
    <r>
      <rPr>
        <sz val="8"/>
        <color rgb="FF363636"/>
        <rFont val="Arial MT"/>
        <family val="2"/>
      </rPr>
      <t>Unit2/1.00 612</t>
    </r>
  </si>
  <si>
    <r>
      <rPr>
        <sz val="8"/>
        <color rgb="FF363636"/>
        <rFont val="Arial MT"/>
        <family val="2"/>
      </rPr>
      <t>Felicia Hartman</t>
    </r>
  </si>
  <si>
    <r>
      <rPr>
        <sz val="8"/>
        <color rgb="FF363636"/>
        <rFont val="Arial MT"/>
        <family val="2"/>
      </rPr>
      <t>Unit2/1.00 611</t>
    </r>
  </si>
  <si>
    <r>
      <rPr>
        <sz val="8"/>
        <color rgb="FF363636"/>
        <rFont val="Arial MT"/>
        <family val="2"/>
      </rPr>
      <t>Marsha Hicks</t>
    </r>
  </si>
  <si>
    <r>
      <rPr>
        <sz val="8"/>
        <color rgb="FF363636"/>
        <rFont val="Arial MT"/>
        <family val="2"/>
      </rPr>
      <t>Unit2/1.00 610</t>
    </r>
  </si>
  <si>
    <r>
      <rPr>
        <sz val="8"/>
        <color rgb="FF363636"/>
        <rFont val="Arial MT"/>
        <family val="2"/>
      </rPr>
      <t>Jeffery Walton</t>
    </r>
  </si>
  <si>
    <r>
      <rPr>
        <sz val="8"/>
        <color rgb="FF363636"/>
        <rFont val="Arial MT"/>
        <family val="2"/>
      </rPr>
      <t>Unit1/1.00 609</t>
    </r>
  </si>
  <si>
    <r>
      <rPr>
        <sz val="8"/>
        <color rgb="FF363636"/>
        <rFont val="Arial MT"/>
        <family val="2"/>
      </rPr>
      <t>Brianne Wilds</t>
    </r>
  </si>
  <si>
    <r>
      <rPr>
        <sz val="8"/>
        <color rgb="FF363636"/>
        <rFont val="Arial MT"/>
        <family val="2"/>
      </rPr>
      <t>Unit2/1.00 608</t>
    </r>
  </si>
  <si>
    <r>
      <rPr>
        <sz val="8"/>
        <color rgb="FF363636"/>
        <rFont val="Arial MT"/>
        <family val="2"/>
      </rPr>
      <t>Richard Varnado</t>
    </r>
  </si>
  <si>
    <r>
      <rPr>
        <sz val="8"/>
        <color rgb="FF363636"/>
        <rFont val="Arial MT"/>
        <family val="2"/>
      </rPr>
      <t>Unit1/1.00 607</t>
    </r>
  </si>
  <si>
    <r>
      <rPr>
        <sz val="8"/>
        <color rgb="FF363636"/>
        <rFont val="Arial MT"/>
        <family val="2"/>
      </rPr>
      <t>Edgar Eduardo Cervantes Vargus</t>
    </r>
  </si>
  <si>
    <r>
      <rPr>
        <sz val="8"/>
        <color rgb="FF363636"/>
        <rFont val="Arial MT"/>
        <family val="2"/>
      </rPr>
      <t>Unit2/1.00 606</t>
    </r>
  </si>
  <si>
    <r>
      <rPr>
        <sz val="8"/>
        <color rgb="FF363636"/>
        <rFont val="Arial MT"/>
        <family val="2"/>
      </rPr>
      <t>Cassy King</t>
    </r>
  </si>
  <si>
    <r>
      <rPr>
        <sz val="8"/>
        <color rgb="FF363636"/>
        <rFont val="Arial MT"/>
        <family val="2"/>
      </rPr>
      <t>Unit1/1.00 605</t>
    </r>
  </si>
  <si>
    <r>
      <rPr>
        <sz val="8"/>
        <color rgb="FF363636"/>
        <rFont val="Arial MT"/>
        <family val="2"/>
      </rPr>
      <t>Rayona Hardy</t>
    </r>
  </si>
  <si>
    <r>
      <rPr>
        <sz val="8"/>
        <color rgb="FF363636"/>
        <rFont val="Arial MT"/>
        <family val="2"/>
      </rPr>
      <t>Unit2/1.00 604</t>
    </r>
  </si>
  <si>
    <r>
      <rPr>
        <sz val="8"/>
        <color rgb="FF363636"/>
        <rFont val="Arial MT"/>
        <family val="2"/>
      </rPr>
      <t>Cora Archer (DHA - VOUCHER)</t>
    </r>
  </si>
  <si>
    <r>
      <rPr>
        <sz val="8"/>
        <color rgb="FF363636"/>
        <rFont val="Arial MT"/>
        <family val="2"/>
      </rPr>
      <t>Unit1/1.00 603</t>
    </r>
  </si>
  <si>
    <r>
      <rPr>
        <sz val="8"/>
        <color rgb="FF363636"/>
        <rFont val="Arial MT"/>
        <family val="2"/>
      </rPr>
      <t>Kennedy Geter</t>
    </r>
  </si>
  <si>
    <r>
      <rPr>
        <sz val="8"/>
        <color rgb="FF363636"/>
        <rFont val="Arial MT"/>
        <family val="2"/>
      </rPr>
      <t>Unit2/1.00 602</t>
    </r>
  </si>
  <si>
    <r>
      <rPr>
        <sz val="8"/>
        <color rgb="FF363636"/>
        <rFont val="Arial MT"/>
        <family val="2"/>
      </rPr>
      <t>Monica Turner (DHA-VOUCHER)</t>
    </r>
  </si>
  <si>
    <r>
      <rPr>
        <sz val="8"/>
        <color rgb="FF363636"/>
        <rFont val="Arial MT"/>
        <family val="2"/>
      </rPr>
      <t>Unit1/1.00 601</t>
    </r>
  </si>
  <si>
    <r>
      <rPr>
        <sz val="8"/>
        <color rgb="FF363636"/>
        <rFont val="Arial MT"/>
        <family val="2"/>
      </rPr>
      <t>Christian Wakefield</t>
    </r>
  </si>
  <si>
    <r>
      <rPr>
        <sz val="8"/>
        <color rgb="FF363636"/>
        <rFont val="Arial MT"/>
        <family val="2"/>
      </rPr>
      <t>Unit2/1.00 524</t>
    </r>
  </si>
  <si>
    <r>
      <rPr>
        <sz val="8"/>
        <color rgb="FF363636"/>
        <rFont val="Arial MT"/>
        <family val="2"/>
      </rPr>
      <t>Myisha Stewart</t>
    </r>
  </si>
  <si>
    <r>
      <rPr>
        <sz val="8"/>
        <color rgb="FF363636"/>
        <rFont val="Arial MT"/>
        <family val="2"/>
      </rPr>
      <t>Unit2/1.00 523</t>
    </r>
  </si>
  <si>
    <r>
      <rPr>
        <sz val="8"/>
        <color rgb="FF363636"/>
        <rFont val="Arial MT"/>
        <family val="2"/>
      </rPr>
      <t>Terri Willilams</t>
    </r>
  </si>
  <si>
    <r>
      <rPr>
        <sz val="8"/>
        <color rgb="FF363636"/>
        <rFont val="Arial MT"/>
        <family val="2"/>
      </rPr>
      <t>Unit2/1.00 522</t>
    </r>
  </si>
  <si>
    <r>
      <rPr>
        <sz val="8"/>
        <color rgb="FF363636"/>
        <rFont val="Arial MT"/>
        <family val="2"/>
      </rPr>
      <t>Rickie Roberson</t>
    </r>
  </si>
  <si>
    <r>
      <rPr>
        <sz val="8"/>
        <color rgb="FF363636"/>
        <rFont val="Arial MT"/>
        <family val="2"/>
      </rPr>
      <t>Unit2/1.00 521</t>
    </r>
  </si>
  <si>
    <r>
      <rPr>
        <sz val="8"/>
        <color rgb="FF363636"/>
        <rFont val="Arial MT"/>
        <family val="2"/>
      </rPr>
      <t>Cassandra Davis</t>
    </r>
  </si>
  <si>
    <r>
      <rPr>
        <sz val="8"/>
        <color rgb="FF363636"/>
        <rFont val="Arial MT"/>
        <family val="2"/>
      </rPr>
      <t>Unit2/1.00 520</t>
    </r>
  </si>
  <si>
    <r>
      <rPr>
        <sz val="8"/>
        <color rgb="FF363636"/>
        <rFont val="Arial MT"/>
        <family val="2"/>
      </rPr>
      <t>Cormeeka Craig</t>
    </r>
  </si>
  <si>
    <r>
      <rPr>
        <sz val="8"/>
        <color rgb="FF363636"/>
        <rFont val="Arial MT"/>
        <family val="2"/>
      </rPr>
      <t>Unit1/1.00 519</t>
    </r>
  </si>
  <si>
    <r>
      <rPr>
        <sz val="8"/>
        <color rgb="FF363636"/>
        <rFont val="Arial MT"/>
        <family val="2"/>
      </rPr>
      <t>Micheal Armstrong</t>
    </r>
  </si>
  <si>
    <r>
      <rPr>
        <sz val="8"/>
        <color rgb="FF363636"/>
        <rFont val="Arial MT"/>
        <family val="2"/>
      </rPr>
      <t>Unit2/1.00 518</t>
    </r>
  </si>
  <si>
    <r>
      <rPr>
        <sz val="8"/>
        <color rgb="FF363636"/>
        <rFont val="Arial MT"/>
        <family val="2"/>
      </rPr>
      <t>Anna Garcia</t>
    </r>
  </si>
  <si>
    <r>
      <rPr>
        <sz val="8"/>
        <color rgb="FF363636"/>
        <rFont val="Arial MT"/>
        <family val="2"/>
      </rPr>
      <t>Unit2/1.00 517</t>
    </r>
  </si>
  <si>
    <r>
      <rPr>
        <sz val="8"/>
        <color rgb="FF363636"/>
        <rFont val="Arial MT"/>
        <family val="2"/>
      </rPr>
      <t>Dandria Wilson</t>
    </r>
  </si>
  <si>
    <r>
      <rPr>
        <sz val="8"/>
        <color rgb="FF363636"/>
        <rFont val="Arial MT"/>
        <family val="2"/>
      </rPr>
      <t>Unit1/1.00 516</t>
    </r>
  </si>
  <si>
    <r>
      <rPr>
        <sz val="8"/>
        <color rgb="FF363636"/>
        <rFont val="Arial MT"/>
        <family val="2"/>
      </rPr>
      <t>Lavadia LeBlanc</t>
    </r>
  </si>
  <si>
    <r>
      <rPr>
        <sz val="8"/>
        <color rgb="FF363636"/>
        <rFont val="Arial MT"/>
        <family val="2"/>
      </rPr>
      <t>Unit2/1.00 515</t>
    </r>
  </si>
  <si>
    <r>
      <rPr>
        <sz val="8"/>
        <color rgb="FF363636"/>
        <rFont val="Arial MT"/>
        <family val="2"/>
      </rPr>
      <t>Tennille Hannah</t>
    </r>
  </si>
  <si>
    <r>
      <rPr>
        <sz val="8"/>
        <color rgb="FF363636"/>
        <rFont val="Arial MT"/>
        <family val="2"/>
      </rPr>
      <t>Unit2/1.00 514</t>
    </r>
  </si>
  <si>
    <r>
      <rPr>
        <sz val="8"/>
        <color rgb="FF363636"/>
        <rFont val="Arial MT"/>
        <family val="2"/>
      </rPr>
      <t>Vacant-Unrented</t>
    </r>
  </si>
  <si>
    <r>
      <rPr>
        <sz val="8"/>
        <color rgb="FF363636"/>
        <rFont val="Arial MT"/>
        <family val="2"/>
      </rPr>
      <t>Unit2/1.00 513</t>
    </r>
  </si>
  <si>
    <r>
      <rPr>
        <sz val="8"/>
        <color rgb="FF363636"/>
        <rFont val="Arial MT"/>
        <family val="2"/>
      </rPr>
      <t>Tammy Jackson</t>
    </r>
  </si>
  <si>
    <r>
      <rPr>
        <sz val="8"/>
        <color rgb="FF363636"/>
        <rFont val="Arial MT"/>
        <family val="2"/>
      </rPr>
      <t>Unit2/1.00 512</t>
    </r>
  </si>
  <si>
    <r>
      <rPr>
        <sz val="8"/>
        <color rgb="FF363636"/>
        <rFont val="Arial MT"/>
        <family val="2"/>
      </rPr>
      <t>Unit2/1.00</t>
    </r>
  </si>
  <si>
    <r>
      <rPr>
        <sz val="8"/>
        <color rgb="FF363636"/>
        <rFont val="Arial MT"/>
        <family val="2"/>
      </rPr>
      <t>Jerry Benjamin</t>
    </r>
  </si>
  <si>
    <r>
      <rPr>
        <sz val="8"/>
        <color rgb="FF363636"/>
        <rFont val="Arial MT"/>
        <family val="2"/>
      </rPr>
      <t>Unit2/1.00 510</t>
    </r>
  </si>
  <si>
    <r>
      <rPr>
        <sz val="8"/>
        <color rgb="FF363636"/>
        <rFont val="Arial MT"/>
        <family val="2"/>
      </rPr>
      <t>Janet W. Smith</t>
    </r>
  </si>
  <si>
    <r>
      <rPr>
        <sz val="8"/>
        <color rgb="FF363636"/>
        <rFont val="Arial MT"/>
        <family val="2"/>
      </rPr>
      <t>Unit2/1.00 509</t>
    </r>
  </si>
  <si>
    <r>
      <rPr>
        <sz val="8"/>
        <color rgb="FF363636"/>
        <rFont val="Arial MT"/>
        <family val="2"/>
      </rPr>
      <t xml:space="preserve">Kurt (VET-DHA-
</t>
    </r>
    <r>
      <rPr>
        <sz val="8"/>
        <color rgb="FF363636"/>
        <rFont val="Arial MT"/>
        <family val="2"/>
      </rPr>
      <t>VOUCHER) Harris</t>
    </r>
  </si>
  <si>
    <r>
      <rPr>
        <sz val="8"/>
        <color rgb="FF363636"/>
        <rFont val="Arial MT"/>
        <family val="2"/>
      </rPr>
      <t>Unit2/1.00 508</t>
    </r>
  </si>
  <si>
    <r>
      <rPr>
        <sz val="8"/>
        <color rgb="FF363636"/>
        <rFont val="Arial MT"/>
        <family val="2"/>
      </rPr>
      <t>Runnell Zachery</t>
    </r>
  </si>
  <si>
    <r>
      <rPr>
        <sz val="8"/>
        <color rgb="FF363636"/>
        <rFont val="Arial MT"/>
        <family val="2"/>
      </rPr>
      <t>Unit2/1.00 507</t>
    </r>
  </si>
  <si>
    <r>
      <rPr>
        <sz val="8"/>
        <color rgb="FF363636"/>
        <rFont val="Arial MT"/>
        <family val="2"/>
      </rPr>
      <t>LeBaron Wallace</t>
    </r>
  </si>
  <si>
    <r>
      <rPr>
        <sz val="8"/>
        <color rgb="FF363636"/>
        <rFont val="Arial MT"/>
        <family val="2"/>
      </rPr>
      <t>Unit2/1.00 506</t>
    </r>
  </si>
  <si>
    <r>
      <rPr>
        <sz val="8"/>
        <color rgb="FF363636"/>
        <rFont val="Arial MT"/>
        <family val="2"/>
      </rPr>
      <t>Unit2/1.00 505</t>
    </r>
  </si>
  <si>
    <r>
      <rPr>
        <sz val="8"/>
        <color rgb="FF363636"/>
        <rFont val="Arial MT"/>
        <family val="2"/>
      </rPr>
      <t>Shimeka Boyce (DHA)</t>
    </r>
  </si>
  <si>
    <r>
      <rPr>
        <sz val="8"/>
        <color rgb="FF363636"/>
        <rFont val="Arial MT"/>
        <family val="2"/>
      </rPr>
      <t>Unit2/1.00 504</t>
    </r>
  </si>
  <si>
    <r>
      <rPr>
        <sz val="8"/>
        <color rgb="FF363636"/>
        <rFont val="Arial MT"/>
        <family val="2"/>
      </rPr>
      <t>Hipolito Gutierrez</t>
    </r>
  </si>
  <si>
    <r>
      <rPr>
        <sz val="8"/>
        <color rgb="FF363636"/>
        <rFont val="Arial MT"/>
        <family val="2"/>
      </rPr>
      <t>Unit2/1.00 503</t>
    </r>
  </si>
  <si>
    <r>
      <rPr>
        <sz val="8"/>
        <color rgb="FF363636"/>
        <rFont val="Arial MT"/>
        <family val="2"/>
      </rPr>
      <t>Samone Furlough</t>
    </r>
  </si>
  <si>
    <r>
      <rPr>
        <sz val="8"/>
        <color rgb="FF363636"/>
        <rFont val="Arial MT"/>
        <family val="2"/>
      </rPr>
      <t>Unit2/1.00 502</t>
    </r>
  </si>
  <si>
    <r>
      <rPr>
        <sz val="8"/>
        <color rgb="FF363636"/>
        <rFont val="Arial MT"/>
        <family val="2"/>
      </rPr>
      <t>Arianna (Family Gateway) Mason</t>
    </r>
  </si>
  <si>
    <r>
      <rPr>
        <sz val="8"/>
        <color rgb="FF363636"/>
        <rFont val="Arial MT"/>
        <family val="2"/>
      </rPr>
      <t>Unit2/1.00 501</t>
    </r>
  </si>
  <si>
    <r>
      <rPr>
        <sz val="8"/>
        <color rgb="FF363636"/>
        <rFont val="Arial MT"/>
        <family val="2"/>
      </rPr>
      <t>Eddie Tenison</t>
    </r>
  </si>
  <si>
    <r>
      <rPr>
        <sz val="8"/>
        <color rgb="FF363636"/>
        <rFont val="Arial MT"/>
        <family val="2"/>
      </rPr>
      <t>Unit2/1.00 424</t>
    </r>
  </si>
  <si>
    <r>
      <rPr>
        <sz val="8"/>
        <color rgb="FF363636"/>
        <rFont val="Arial MT"/>
        <family val="2"/>
      </rPr>
      <t>Jarius Critterdon (DHA-VOUCHER)</t>
    </r>
  </si>
  <si>
    <r>
      <rPr>
        <sz val="8"/>
        <color rgb="FF363636"/>
        <rFont val="Arial MT"/>
        <family val="2"/>
      </rPr>
      <t>Unit2/1.00 423</t>
    </r>
  </si>
  <si>
    <r>
      <rPr>
        <sz val="8"/>
        <color rgb="FF363636"/>
        <rFont val="Arial MT"/>
        <family val="2"/>
      </rPr>
      <t>Nacole Lacey</t>
    </r>
  </si>
  <si>
    <r>
      <rPr>
        <sz val="8"/>
        <color rgb="FF363636"/>
        <rFont val="Arial MT"/>
        <family val="2"/>
      </rPr>
      <t>Unit2/1.00 422</t>
    </r>
  </si>
  <si>
    <r>
      <rPr>
        <sz val="8"/>
        <color rgb="FF363636"/>
        <rFont val="Arial MT"/>
        <family val="2"/>
      </rPr>
      <t>Hugo Sanchez</t>
    </r>
  </si>
  <si>
    <r>
      <rPr>
        <sz val="8"/>
        <color rgb="FF363636"/>
        <rFont val="Arial MT"/>
        <family val="2"/>
      </rPr>
      <t>Unit2/1.00 421</t>
    </r>
  </si>
  <si>
    <r>
      <rPr>
        <sz val="8"/>
        <color rgb="FF363636"/>
        <rFont val="Arial MT"/>
        <family val="2"/>
      </rPr>
      <t>Octavius Jackson</t>
    </r>
  </si>
  <si>
    <r>
      <rPr>
        <sz val="8"/>
        <color rgb="FF363636"/>
        <rFont val="Arial MT"/>
        <family val="2"/>
      </rPr>
      <t>Unit2/1.00 420</t>
    </r>
  </si>
  <si>
    <r>
      <rPr>
        <sz val="8"/>
        <color rgb="FF363636"/>
        <rFont val="Arial MT"/>
        <family val="2"/>
      </rPr>
      <t>Unit2/1.00 419</t>
    </r>
  </si>
  <si>
    <r>
      <rPr>
        <sz val="8"/>
        <color rgb="FF363636"/>
        <rFont val="Arial MT"/>
        <family val="2"/>
      </rPr>
      <t>Canandra Boyce (GPH-VOUCHER)</t>
    </r>
  </si>
  <si>
    <r>
      <rPr>
        <sz val="8"/>
        <color rgb="FF363636"/>
        <rFont val="Arial MT"/>
        <family val="2"/>
      </rPr>
      <t>Unit2/1.00 418</t>
    </r>
  </si>
  <si>
    <r>
      <rPr>
        <sz val="8"/>
        <color rgb="FF363636"/>
        <rFont val="Arial MT"/>
        <family val="2"/>
      </rPr>
      <t>Gina Blanton</t>
    </r>
  </si>
  <si>
    <r>
      <rPr>
        <sz val="8"/>
        <color rgb="FF363636"/>
        <rFont val="Arial MT"/>
        <family val="2"/>
      </rPr>
      <t>Unit2/1.00 417</t>
    </r>
  </si>
  <si>
    <r>
      <rPr>
        <sz val="8"/>
        <color rgb="FF363636"/>
        <rFont val="Arial MT"/>
        <family val="2"/>
      </rPr>
      <t>Juan Antonio Rodriguez</t>
    </r>
  </si>
  <si>
    <r>
      <rPr>
        <sz val="8"/>
        <color rgb="FF363636"/>
        <rFont val="Arial MT"/>
        <family val="2"/>
      </rPr>
      <t>Unit2/1.00 416</t>
    </r>
  </si>
  <si>
    <r>
      <rPr>
        <sz val="8"/>
        <color rgb="FF363636"/>
        <rFont val="Arial MT"/>
        <family val="2"/>
      </rPr>
      <t>Alisa Orta</t>
    </r>
  </si>
  <si>
    <r>
      <rPr>
        <sz val="8"/>
        <color rgb="FF363636"/>
        <rFont val="Arial MT"/>
        <family val="2"/>
      </rPr>
      <t>Unit1/1.00 415</t>
    </r>
  </si>
  <si>
    <r>
      <rPr>
        <sz val="8"/>
        <color rgb="FF363636"/>
        <rFont val="Arial MT"/>
        <family val="2"/>
      </rPr>
      <t>Unit2/1.00 414</t>
    </r>
  </si>
  <si>
    <r>
      <rPr>
        <sz val="8"/>
        <color rgb="FF363636"/>
        <rFont val="Arial MT"/>
        <family val="2"/>
      </rPr>
      <t>Datron Mitchell</t>
    </r>
  </si>
  <si>
    <r>
      <rPr>
        <sz val="8"/>
        <color rgb="FF363636"/>
        <rFont val="Arial MT"/>
        <family val="2"/>
      </rPr>
      <t>Unit2/1.00 413</t>
    </r>
  </si>
  <si>
    <r>
      <rPr>
        <sz val="8"/>
        <color rgb="FF363636"/>
        <rFont val="Arial MT"/>
        <family val="2"/>
      </rPr>
      <t>Dora Barren</t>
    </r>
  </si>
  <si>
    <r>
      <rPr>
        <sz val="8"/>
        <color rgb="FF363636"/>
        <rFont val="Arial MT"/>
        <family val="2"/>
      </rPr>
      <t>Unit2/1.00 412</t>
    </r>
  </si>
  <si>
    <r>
      <rPr>
        <sz val="8"/>
        <color rgb="FF363636"/>
        <rFont val="Arial MT"/>
        <family val="2"/>
      </rPr>
      <t>Ashieya Webb</t>
    </r>
  </si>
  <si>
    <r>
      <rPr>
        <sz val="8"/>
        <color rgb="FF363636"/>
        <rFont val="Arial MT"/>
        <family val="2"/>
      </rPr>
      <t>Unit2/1.00 411</t>
    </r>
  </si>
  <si>
    <r>
      <rPr>
        <sz val="8"/>
        <color rgb="FF363636"/>
        <rFont val="Arial MT"/>
        <family val="2"/>
      </rPr>
      <t>Rosa Gutierrez</t>
    </r>
  </si>
  <si>
    <r>
      <rPr>
        <sz val="8"/>
        <color rgb="FF363636"/>
        <rFont val="Arial MT"/>
        <family val="2"/>
      </rPr>
      <t>Unit2/1.00 410</t>
    </r>
  </si>
  <si>
    <r>
      <rPr>
        <sz val="8"/>
        <color rgb="FF363636"/>
        <rFont val="Arial MT"/>
        <family val="2"/>
      </rPr>
      <t>Natonya Smith</t>
    </r>
  </si>
  <si>
    <r>
      <rPr>
        <sz val="8"/>
        <color rgb="FF363636"/>
        <rFont val="Arial MT"/>
        <family val="2"/>
      </rPr>
      <t>Unit2/1.00 409</t>
    </r>
  </si>
  <si>
    <r>
      <rPr>
        <sz val="8"/>
        <color rgb="FF363636"/>
        <rFont val="Arial MT"/>
        <family val="2"/>
      </rPr>
      <t>Cindy Sillas</t>
    </r>
  </si>
  <si>
    <r>
      <rPr>
        <sz val="8"/>
        <color rgb="FF363636"/>
        <rFont val="Arial MT"/>
        <family val="2"/>
      </rPr>
      <t>Unit2/1.00 408</t>
    </r>
  </si>
  <si>
    <r>
      <rPr>
        <sz val="8"/>
        <color rgb="FF363636"/>
        <rFont val="Arial MT"/>
        <family val="2"/>
      </rPr>
      <t>Keithan Johnson (DHA)</t>
    </r>
  </si>
  <si>
    <r>
      <rPr>
        <sz val="8"/>
        <color rgb="FF363636"/>
        <rFont val="Arial MT"/>
        <family val="2"/>
      </rPr>
      <t>Unit1/1.00 407</t>
    </r>
  </si>
  <si>
    <r>
      <rPr>
        <sz val="8"/>
        <color rgb="FF363636"/>
        <rFont val="Arial MT"/>
        <family val="2"/>
      </rPr>
      <t>Unit2/1.00 406</t>
    </r>
  </si>
  <si>
    <r>
      <rPr>
        <sz val="8"/>
        <color rgb="FF363636"/>
        <rFont val="Arial MT"/>
        <family val="2"/>
      </rPr>
      <t>Tory Lewis</t>
    </r>
  </si>
  <si>
    <r>
      <rPr>
        <sz val="8"/>
        <color rgb="FF363636"/>
        <rFont val="Arial MT"/>
        <family val="2"/>
      </rPr>
      <t>Unit2/1.00 405</t>
    </r>
  </si>
  <si>
    <r>
      <rPr>
        <sz val="8"/>
        <color rgb="FF363636"/>
        <rFont val="Arial MT"/>
        <family val="2"/>
      </rPr>
      <t>Victor Velazco</t>
    </r>
  </si>
  <si>
    <r>
      <rPr>
        <sz val="8"/>
        <color rgb="FF363636"/>
        <rFont val="Arial MT"/>
        <family val="2"/>
      </rPr>
      <t>Unit2/1.00 404</t>
    </r>
  </si>
  <si>
    <r>
      <rPr>
        <sz val="8"/>
        <color rgb="FF363636"/>
        <rFont val="Arial MT"/>
        <family val="2"/>
      </rPr>
      <t>Jose Herrera</t>
    </r>
  </si>
  <si>
    <r>
      <rPr>
        <sz val="8"/>
        <color rgb="FF363636"/>
        <rFont val="Arial MT"/>
        <family val="2"/>
      </rPr>
      <t>Unit2/1.00 403</t>
    </r>
  </si>
  <si>
    <r>
      <rPr>
        <sz val="8"/>
        <color rgb="FF363636"/>
        <rFont val="Arial MT"/>
        <family val="2"/>
      </rPr>
      <t>Richard Roberson</t>
    </r>
  </si>
  <si>
    <r>
      <rPr>
        <sz val="8"/>
        <color rgb="FF363636"/>
        <rFont val="Arial MT"/>
        <family val="2"/>
      </rPr>
      <t>Unit1/1.00 402</t>
    </r>
  </si>
  <si>
    <r>
      <rPr>
        <sz val="8"/>
        <color rgb="FF363636"/>
        <rFont val="Arial MT"/>
        <family val="2"/>
      </rPr>
      <t>Ty'Shawnna Miller (DHA-VOUCHER)</t>
    </r>
  </si>
  <si>
    <r>
      <rPr>
        <sz val="8"/>
        <color rgb="FF363636"/>
        <rFont val="Arial MT"/>
        <family val="2"/>
      </rPr>
      <t>Unit2/1.00 401</t>
    </r>
  </si>
  <si>
    <r>
      <rPr>
        <sz val="8"/>
        <color rgb="FF363636"/>
        <rFont val="Arial MT"/>
        <family val="2"/>
      </rPr>
      <t>Nicole Johnson</t>
    </r>
  </si>
  <si>
    <r>
      <rPr>
        <sz val="8"/>
        <color rgb="FF363636"/>
        <rFont val="Arial MT"/>
        <family val="2"/>
      </rPr>
      <t>Unit2/1.00 324</t>
    </r>
  </si>
  <si>
    <r>
      <rPr>
        <sz val="8"/>
        <color rgb="FF363636"/>
        <rFont val="Arial MT"/>
        <family val="2"/>
      </rPr>
      <t>Gladys Turner</t>
    </r>
  </si>
  <si>
    <r>
      <rPr>
        <sz val="8"/>
        <color rgb="FF363636"/>
        <rFont val="Arial MT"/>
        <family val="2"/>
      </rPr>
      <t>Unit2/1.00 323</t>
    </r>
  </si>
  <si>
    <r>
      <rPr>
        <sz val="8"/>
        <color rgb="FF363636"/>
        <rFont val="Arial MT"/>
        <family val="2"/>
      </rPr>
      <t>Luciano Guerrero</t>
    </r>
  </si>
  <si>
    <r>
      <rPr>
        <sz val="8"/>
        <color rgb="FF363636"/>
        <rFont val="Arial MT"/>
        <family val="2"/>
      </rPr>
      <t>Unit2/1.00 322</t>
    </r>
  </si>
  <si>
    <r>
      <rPr>
        <sz val="8"/>
        <color rgb="FF363636"/>
        <rFont val="Arial MT"/>
        <family val="2"/>
      </rPr>
      <t>Stefon Baker</t>
    </r>
  </si>
  <si>
    <r>
      <rPr>
        <sz val="8"/>
        <color rgb="FF363636"/>
        <rFont val="Arial MT"/>
        <family val="2"/>
      </rPr>
      <t>Unit2/1.00 321</t>
    </r>
  </si>
  <si>
    <r>
      <rPr>
        <sz val="8"/>
        <color rgb="FF363636"/>
        <rFont val="Arial MT"/>
        <family val="2"/>
      </rPr>
      <t>Carolyn Davis</t>
    </r>
  </si>
  <si>
    <r>
      <rPr>
        <sz val="8"/>
        <color rgb="FF363636"/>
        <rFont val="Arial MT"/>
        <family val="2"/>
      </rPr>
      <t>Unit2/1.00 320</t>
    </r>
  </si>
  <si>
    <r>
      <rPr>
        <sz val="8"/>
        <color rgb="FF363636"/>
        <rFont val="Arial MT"/>
        <family val="2"/>
      </rPr>
      <t>Todd Murphy</t>
    </r>
  </si>
  <si>
    <r>
      <rPr>
        <sz val="8"/>
        <color rgb="FF363636"/>
        <rFont val="Arial MT"/>
        <family val="2"/>
      </rPr>
      <t>Unit2/1.00 319</t>
    </r>
  </si>
  <si>
    <r>
      <rPr>
        <sz val="8"/>
        <color rgb="FF363636"/>
        <rFont val="Arial MT"/>
        <family val="2"/>
      </rPr>
      <t>Wallace Wigfall</t>
    </r>
  </si>
  <si>
    <r>
      <rPr>
        <sz val="8"/>
        <color rgb="FF363636"/>
        <rFont val="Arial MT"/>
        <family val="2"/>
      </rPr>
      <t>Regina Delk (DHA)</t>
    </r>
  </si>
  <si>
    <r>
      <rPr>
        <sz val="8"/>
        <color rgb="FF363636"/>
        <rFont val="Arial MT"/>
        <family val="2"/>
      </rPr>
      <t>Unit2/1.00 317</t>
    </r>
  </si>
  <si>
    <r>
      <rPr>
        <sz val="8"/>
        <color rgb="FF363636"/>
        <rFont val="Arial MT"/>
        <family val="2"/>
      </rPr>
      <t>Charles Potter</t>
    </r>
  </si>
  <si>
    <r>
      <rPr>
        <sz val="8"/>
        <color rgb="FF363636"/>
        <rFont val="Arial MT"/>
        <family val="2"/>
      </rPr>
      <t>Unit1/1.00 316</t>
    </r>
  </si>
  <si>
    <r>
      <rPr>
        <sz val="8"/>
        <color rgb="FF363636"/>
        <rFont val="Arial MT"/>
        <family val="2"/>
      </rPr>
      <t>Unit2/1.00 315</t>
    </r>
  </si>
  <si>
    <r>
      <rPr>
        <sz val="8"/>
        <color rgb="FF363636"/>
        <rFont val="Arial MT"/>
        <family val="2"/>
      </rPr>
      <t>Sydney Butts</t>
    </r>
  </si>
  <si>
    <r>
      <rPr>
        <sz val="8"/>
        <color rgb="FF363636"/>
        <rFont val="Arial MT"/>
        <family val="2"/>
      </rPr>
      <t>Unit2/1.00 314</t>
    </r>
  </si>
  <si>
    <r>
      <rPr>
        <sz val="8"/>
        <color rgb="FF363636"/>
        <rFont val="Arial MT"/>
        <family val="2"/>
      </rPr>
      <t>Tarsl Dixon</t>
    </r>
  </si>
  <si>
    <r>
      <rPr>
        <sz val="8"/>
        <color rgb="FF363636"/>
        <rFont val="Arial MT"/>
        <family val="2"/>
      </rPr>
      <t>Unit2/1.00 313</t>
    </r>
  </si>
  <si>
    <r>
      <rPr>
        <sz val="8"/>
        <color rgb="FF363636"/>
        <rFont val="Arial MT"/>
        <family val="2"/>
      </rPr>
      <t>Tiqusha Cromarty</t>
    </r>
  </si>
  <si>
    <r>
      <rPr>
        <sz val="8"/>
        <color rgb="FF363636"/>
        <rFont val="Arial MT"/>
        <family val="2"/>
      </rPr>
      <t>Unit2/1.00 312</t>
    </r>
  </si>
  <si>
    <r>
      <rPr>
        <sz val="8"/>
        <color rgb="FF363636"/>
        <rFont val="Arial MT"/>
        <family val="2"/>
      </rPr>
      <t>Unit2/1.00 311</t>
    </r>
  </si>
  <si>
    <r>
      <rPr>
        <sz val="8"/>
        <color rgb="FF363636"/>
        <rFont val="Arial MT"/>
        <family val="2"/>
      </rPr>
      <t>Khyla Miller</t>
    </r>
  </si>
  <si>
    <r>
      <rPr>
        <sz val="8"/>
        <color rgb="FF363636"/>
        <rFont val="Arial MT"/>
        <family val="2"/>
      </rPr>
      <t>Unit2/1.00 310</t>
    </r>
  </si>
  <si>
    <r>
      <rPr>
        <sz val="8"/>
        <color rgb="FF363636"/>
        <rFont val="Arial MT"/>
        <family val="2"/>
      </rPr>
      <t>Gloria Allen</t>
    </r>
  </si>
  <si>
    <r>
      <rPr>
        <sz val="8"/>
        <color rgb="FF363636"/>
        <rFont val="Arial MT"/>
        <family val="2"/>
      </rPr>
      <t>Unit2/1.00 309</t>
    </r>
  </si>
  <si>
    <r>
      <rPr>
        <sz val="8"/>
        <color rgb="FF363636"/>
        <rFont val="Arial MT"/>
        <family val="2"/>
      </rPr>
      <t>Henry Simpkins (Family Gateway)</t>
    </r>
  </si>
  <si>
    <r>
      <rPr>
        <sz val="8"/>
        <color rgb="FF363636"/>
        <rFont val="Arial MT"/>
        <family val="2"/>
      </rPr>
      <t>Unit1/1.00 308</t>
    </r>
  </si>
  <si>
    <r>
      <rPr>
        <sz val="8"/>
        <color rgb="FF363636"/>
        <rFont val="Arial MT"/>
        <family val="2"/>
      </rPr>
      <t>Jasmine Brown (DHA-VOUCHER)</t>
    </r>
  </si>
  <si>
    <r>
      <rPr>
        <sz val="8"/>
        <color rgb="FF363636"/>
        <rFont val="Arial MT"/>
        <family val="2"/>
      </rPr>
      <t>Unit2/1.00 307</t>
    </r>
  </si>
  <si>
    <r>
      <rPr>
        <sz val="8"/>
        <color rgb="FF363636"/>
        <rFont val="Arial MT"/>
        <family val="2"/>
      </rPr>
      <t>Morgan Lambert</t>
    </r>
  </si>
  <si>
    <r>
      <rPr>
        <sz val="8"/>
        <color rgb="FF363636"/>
        <rFont val="Arial MT"/>
        <family val="2"/>
      </rPr>
      <t>Unit2/1.00 306</t>
    </r>
  </si>
  <si>
    <r>
      <rPr>
        <sz val="8"/>
        <color rgb="FF363636"/>
        <rFont val="Arial MT"/>
        <family val="2"/>
      </rPr>
      <t>Rochelle Smith</t>
    </r>
  </si>
  <si>
    <r>
      <rPr>
        <sz val="8"/>
        <color rgb="FF363636"/>
        <rFont val="Arial MT"/>
        <family val="2"/>
      </rPr>
      <t>Unit2/1.00 305</t>
    </r>
  </si>
  <si>
    <r>
      <rPr>
        <sz val="8"/>
        <color rgb="FF363636"/>
        <rFont val="Arial MT"/>
        <family val="2"/>
      </rPr>
      <t>Nakia Mauldin</t>
    </r>
  </si>
  <si>
    <r>
      <rPr>
        <sz val="8"/>
        <color rgb="FF363636"/>
        <rFont val="Arial MT"/>
        <family val="2"/>
      </rPr>
      <t>Unit2/1.00 304</t>
    </r>
  </si>
  <si>
    <r>
      <rPr>
        <sz val="8"/>
        <color rgb="FF363636"/>
        <rFont val="Arial MT"/>
        <family val="2"/>
      </rPr>
      <t>Angela Smith</t>
    </r>
  </si>
  <si>
    <r>
      <rPr>
        <sz val="8"/>
        <color rgb="FF363636"/>
        <rFont val="Arial MT"/>
        <family val="2"/>
      </rPr>
      <t>Unit2/1.00 303</t>
    </r>
  </si>
  <si>
    <r>
      <rPr>
        <sz val="8"/>
        <color rgb="FF363636"/>
        <rFont val="Arial MT"/>
        <family val="2"/>
      </rPr>
      <t>Glenda Hudson</t>
    </r>
  </si>
  <si>
    <r>
      <rPr>
        <sz val="8"/>
        <color rgb="FF363636"/>
        <rFont val="Arial MT"/>
        <family val="2"/>
      </rPr>
      <t>Unit2/1.00 302</t>
    </r>
  </si>
  <si>
    <r>
      <rPr>
        <sz val="8"/>
        <color rgb="FF363636"/>
        <rFont val="Arial MT"/>
        <family val="2"/>
      </rPr>
      <t>Jacquline Irving</t>
    </r>
  </si>
  <si>
    <r>
      <rPr>
        <sz val="8"/>
        <color rgb="FF363636"/>
        <rFont val="Arial MT"/>
        <family val="2"/>
      </rPr>
      <t>Unit2/1.00 301</t>
    </r>
  </si>
  <si>
    <r>
      <rPr>
        <sz val="8"/>
        <color rgb="FF363636"/>
        <rFont val="Arial MT"/>
        <family val="2"/>
      </rPr>
      <t>Unit2/1.00 224</t>
    </r>
  </si>
  <si>
    <r>
      <rPr>
        <sz val="8"/>
        <color rgb="FF363636"/>
        <rFont val="Arial MT"/>
        <family val="2"/>
      </rPr>
      <t>Miguel Angel Esteban</t>
    </r>
  </si>
  <si>
    <r>
      <rPr>
        <sz val="8"/>
        <color rgb="FF363636"/>
        <rFont val="Arial MT"/>
        <family val="2"/>
      </rPr>
      <t>Unit2/1.00 223</t>
    </r>
  </si>
  <si>
    <r>
      <rPr>
        <sz val="8"/>
        <color rgb="FF363636"/>
        <rFont val="Arial MT"/>
        <family val="2"/>
      </rPr>
      <t>Willie Jackson</t>
    </r>
  </si>
  <si>
    <r>
      <rPr>
        <sz val="8"/>
        <color rgb="FF363636"/>
        <rFont val="Arial MT"/>
        <family val="2"/>
      </rPr>
      <t>Unit2/1.00 222</t>
    </r>
  </si>
  <si>
    <r>
      <rPr>
        <sz val="8"/>
        <color rgb="FF363636"/>
        <rFont val="Arial MT"/>
        <family val="2"/>
      </rPr>
      <t>Unit2/1.00 221</t>
    </r>
  </si>
  <si>
    <r>
      <rPr>
        <sz val="8"/>
        <color rgb="FF363636"/>
        <rFont val="Arial MT"/>
        <family val="2"/>
      </rPr>
      <t>Unit2/1.00 220</t>
    </r>
  </si>
  <si>
    <r>
      <rPr>
        <sz val="8"/>
        <color rgb="FF363636"/>
        <rFont val="Arial MT"/>
        <family val="2"/>
      </rPr>
      <t>Helene Johnson</t>
    </r>
  </si>
  <si>
    <r>
      <rPr>
        <sz val="8"/>
        <color rgb="FF363636"/>
        <rFont val="Arial MT"/>
        <family val="2"/>
      </rPr>
      <t>Unit1/1.00 219</t>
    </r>
  </si>
  <si>
    <r>
      <rPr>
        <sz val="8"/>
        <color rgb="FF363636"/>
        <rFont val="Arial MT"/>
        <family val="2"/>
      </rPr>
      <t>Jessie Johnson</t>
    </r>
  </si>
  <si>
    <r>
      <rPr>
        <sz val="8"/>
        <color rgb="FF363636"/>
        <rFont val="Arial MT"/>
        <family val="2"/>
      </rPr>
      <t>Unit2/1.00 218</t>
    </r>
  </si>
  <si>
    <r>
      <rPr>
        <sz val="8"/>
        <color rgb="FF363636"/>
        <rFont val="Arial MT"/>
        <family val="2"/>
      </rPr>
      <t>Arnoldo Rafael Torrealba Mujica</t>
    </r>
  </si>
  <si>
    <r>
      <rPr>
        <sz val="8"/>
        <color rgb="FF363636"/>
        <rFont val="Arial MT"/>
        <family val="2"/>
      </rPr>
      <t>Unit2/1.00 217</t>
    </r>
  </si>
  <si>
    <r>
      <rPr>
        <sz val="8"/>
        <color rgb="FF363636"/>
        <rFont val="Arial MT"/>
        <family val="2"/>
      </rPr>
      <t>Sadie Bernard</t>
    </r>
  </si>
  <si>
    <r>
      <rPr>
        <sz val="8"/>
        <color rgb="FF363636"/>
        <rFont val="Arial MT"/>
        <family val="2"/>
      </rPr>
      <t>Unit2/1.00 216</t>
    </r>
  </si>
  <si>
    <r>
      <rPr>
        <sz val="8"/>
        <color rgb="FF363636"/>
        <rFont val="Arial MT"/>
        <family val="2"/>
      </rPr>
      <t>Metro Care</t>
    </r>
  </si>
  <si>
    <r>
      <rPr>
        <sz val="8"/>
        <color rgb="FF363636"/>
        <rFont val="Arial MT"/>
        <family val="2"/>
      </rPr>
      <t>Unit2/1.00 215</t>
    </r>
  </si>
  <si>
    <r>
      <rPr>
        <sz val="8"/>
        <color rgb="FF363636"/>
        <rFont val="Arial MT"/>
        <family val="2"/>
      </rPr>
      <t>Jacobyia Johnson</t>
    </r>
  </si>
  <si>
    <r>
      <rPr>
        <sz val="8"/>
        <color rgb="FF363636"/>
        <rFont val="Arial MT"/>
        <family val="2"/>
      </rPr>
      <t>Unit2/1.00 214</t>
    </r>
  </si>
  <si>
    <r>
      <rPr>
        <sz val="8"/>
        <color rgb="FF363636"/>
        <rFont val="Arial MT"/>
        <family val="2"/>
      </rPr>
      <t>Evangelina Cueto</t>
    </r>
  </si>
  <si>
    <r>
      <rPr>
        <sz val="8"/>
        <color rgb="FF363636"/>
        <rFont val="Arial MT"/>
        <family val="2"/>
      </rPr>
      <t>Unit2/1.00 213</t>
    </r>
  </si>
  <si>
    <r>
      <rPr>
        <sz val="8"/>
        <color rgb="FF363636"/>
        <rFont val="Arial MT"/>
        <family val="2"/>
      </rPr>
      <t>Robert Moffett</t>
    </r>
  </si>
  <si>
    <r>
      <rPr>
        <sz val="8"/>
        <color rgb="FF363636"/>
        <rFont val="Arial MT"/>
        <family val="2"/>
      </rPr>
      <t>Unit2/1.00 212</t>
    </r>
  </si>
  <si>
    <r>
      <rPr>
        <sz val="8"/>
        <color rgb="FF363636"/>
        <rFont val="Arial MT"/>
        <family val="2"/>
      </rPr>
      <t>Schreta Goynes</t>
    </r>
  </si>
  <si>
    <r>
      <rPr>
        <sz val="8"/>
        <color rgb="FF363636"/>
        <rFont val="Arial MT"/>
        <family val="2"/>
      </rPr>
      <t>Unit2/1.00 211</t>
    </r>
  </si>
  <si>
    <r>
      <rPr>
        <sz val="8"/>
        <color rgb="FF363636"/>
        <rFont val="Arial MT"/>
        <family val="2"/>
      </rPr>
      <t>Billy Hall</t>
    </r>
  </si>
  <si>
    <r>
      <rPr>
        <sz val="8"/>
        <color rgb="FF363636"/>
        <rFont val="Arial MT"/>
        <family val="2"/>
      </rPr>
      <t>Unit2/1.00 210</t>
    </r>
  </si>
  <si>
    <r>
      <rPr>
        <sz val="8"/>
        <color rgb="FF363636"/>
        <rFont val="Arial MT"/>
        <family val="2"/>
      </rPr>
      <t>Quellar Malone</t>
    </r>
  </si>
  <si>
    <r>
      <rPr>
        <sz val="8"/>
        <color rgb="FF363636"/>
        <rFont val="Arial MT"/>
        <family val="2"/>
      </rPr>
      <t>Unit2/1.00 209</t>
    </r>
  </si>
  <si>
    <r>
      <rPr>
        <sz val="8"/>
        <color rgb="FF363636"/>
        <rFont val="Arial MT"/>
        <family val="2"/>
      </rPr>
      <t>Jamie Aubrey (DHA - RAPID - NO VOUCHER)</t>
    </r>
  </si>
  <si>
    <r>
      <rPr>
        <sz val="8"/>
        <color rgb="FF363636"/>
        <rFont val="Arial MT"/>
        <family val="2"/>
      </rPr>
      <t>Unit1/1.00 208</t>
    </r>
  </si>
  <si>
    <r>
      <rPr>
        <sz val="8"/>
        <color rgb="FF363636"/>
        <rFont val="Arial MT"/>
        <family val="2"/>
      </rPr>
      <t>Notice-Unrented</t>
    </r>
  </si>
  <si>
    <r>
      <rPr>
        <sz val="8"/>
        <color rgb="FF363636"/>
        <rFont val="Arial MT"/>
        <family val="2"/>
      </rPr>
      <t>Rayshundre Jackson</t>
    </r>
  </si>
  <si>
    <r>
      <rPr>
        <sz val="8"/>
        <color rgb="FF363636"/>
        <rFont val="Arial MT"/>
        <family val="2"/>
      </rPr>
      <t>Unit2/1.00 207</t>
    </r>
  </si>
  <si>
    <r>
      <rPr>
        <sz val="8"/>
        <color rgb="FF363636"/>
        <rFont val="Arial MT"/>
        <family val="2"/>
      </rPr>
      <t>Rebecca Tinnell</t>
    </r>
  </si>
  <si>
    <r>
      <rPr>
        <sz val="8"/>
        <color rgb="FF363636"/>
        <rFont val="Arial MT"/>
        <family val="2"/>
      </rPr>
      <t>Unit2/1.00 206</t>
    </r>
  </si>
  <si>
    <r>
      <rPr>
        <sz val="8"/>
        <color rgb="FF363636"/>
        <rFont val="Arial MT"/>
        <family val="2"/>
      </rPr>
      <t>Robert Brown</t>
    </r>
  </si>
  <si>
    <r>
      <rPr>
        <sz val="8"/>
        <color rgb="FF363636"/>
        <rFont val="Arial MT"/>
        <family val="2"/>
      </rPr>
      <t>Unit2/1.00 205</t>
    </r>
  </si>
  <si>
    <r>
      <rPr>
        <sz val="8"/>
        <color rgb="FF363636"/>
        <rFont val="Arial MT"/>
        <family val="2"/>
      </rPr>
      <t>Kenya Bryant</t>
    </r>
  </si>
  <si>
    <r>
      <rPr>
        <sz val="8"/>
        <color rgb="FF363636"/>
        <rFont val="Arial MT"/>
        <family val="2"/>
      </rPr>
      <t>Unit2/1.00 204</t>
    </r>
  </si>
  <si>
    <r>
      <rPr>
        <sz val="8"/>
        <color rgb="FF363636"/>
        <rFont val="Arial MT"/>
        <family val="2"/>
      </rPr>
      <t>Carol Williams</t>
    </r>
  </si>
  <si>
    <r>
      <rPr>
        <sz val="8"/>
        <color rgb="FF363636"/>
        <rFont val="Arial MT"/>
        <family val="2"/>
      </rPr>
      <t>Unit2/1.00 203</t>
    </r>
  </si>
  <si>
    <r>
      <rPr>
        <sz val="8"/>
        <color rgb="FF363636"/>
        <rFont val="Arial MT"/>
        <family val="2"/>
      </rPr>
      <t>Vermon Mixon</t>
    </r>
  </si>
  <si>
    <r>
      <rPr>
        <sz val="8"/>
        <color rgb="FF363636"/>
        <rFont val="Arial MT"/>
        <family val="2"/>
      </rPr>
      <t>Unit2/1.00 202</t>
    </r>
  </si>
  <si>
    <r>
      <rPr>
        <sz val="8"/>
        <color rgb="FF363636"/>
        <rFont val="Arial MT"/>
        <family val="2"/>
      </rPr>
      <t>Lashonna Weaver</t>
    </r>
  </si>
  <si>
    <r>
      <rPr>
        <sz val="8"/>
        <color rgb="FF363636"/>
        <rFont val="Arial MT"/>
        <family val="2"/>
      </rPr>
      <t>Unit2/1.00 201</t>
    </r>
  </si>
  <si>
    <r>
      <rPr>
        <sz val="8"/>
        <color rgb="FF363636"/>
        <rFont val="Arial MT"/>
        <family val="2"/>
      </rPr>
      <t>Jimmy Pipkins</t>
    </r>
  </si>
  <si>
    <r>
      <rPr>
        <sz val="8"/>
        <color rgb="FF363636"/>
        <rFont val="Arial MT"/>
        <family val="2"/>
      </rPr>
      <t>Unit2/1.00 116</t>
    </r>
  </si>
  <si>
    <r>
      <rPr>
        <sz val="8"/>
        <color rgb="FF363636"/>
        <rFont val="Arial MT"/>
        <family val="2"/>
      </rPr>
      <t>Mary/Billy Prater/ Skinner</t>
    </r>
  </si>
  <si>
    <r>
      <rPr>
        <sz val="8"/>
        <color rgb="FF363636"/>
        <rFont val="Arial MT"/>
        <family val="2"/>
      </rPr>
      <t>Unit1/1.00 115</t>
    </r>
  </si>
  <si>
    <r>
      <rPr>
        <sz val="8"/>
        <color rgb="FF363636"/>
        <rFont val="Arial MT"/>
        <family val="2"/>
      </rPr>
      <t>Andre Johnson</t>
    </r>
  </si>
  <si>
    <r>
      <rPr>
        <sz val="8"/>
        <color rgb="FF363636"/>
        <rFont val="Arial MT"/>
        <family val="2"/>
      </rPr>
      <t>Unit1/1.00 114</t>
    </r>
  </si>
  <si>
    <r>
      <rPr>
        <sz val="8"/>
        <color rgb="FF363636"/>
        <rFont val="Arial MT"/>
        <family val="2"/>
      </rPr>
      <t xml:space="preserve">Chesley Griffin (DHA
</t>
    </r>
    <r>
      <rPr>
        <sz val="8"/>
        <color rgb="FF363636"/>
        <rFont val="Arial MT"/>
        <family val="2"/>
      </rPr>
      <t>- RAPID - NO VOUCHER)</t>
    </r>
  </si>
  <si>
    <r>
      <rPr>
        <sz val="8"/>
        <color rgb="FF363636"/>
        <rFont val="Arial MT"/>
        <family val="2"/>
      </rPr>
      <t>Unit1/1.00 113</t>
    </r>
  </si>
  <si>
    <r>
      <rPr>
        <sz val="8"/>
        <color rgb="FF363636"/>
        <rFont val="Arial MT"/>
        <family val="2"/>
      </rPr>
      <t>Christopher Tarver (DHA - VOUCHER)</t>
    </r>
  </si>
  <si>
    <r>
      <rPr>
        <sz val="8"/>
        <color rgb="FF363636"/>
        <rFont val="Arial MT"/>
        <family val="2"/>
      </rPr>
      <t>Unit1/1.00 112</t>
    </r>
  </si>
  <si>
    <r>
      <rPr>
        <sz val="8"/>
        <color rgb="FF363636"/>
        <rFont val="Arial MT"/>
        <family val="2"/>
      </rPr>
      <t>Pearlie Smith</t>
    </r>
  </si>
  <si>
    <r>
      <rPr>
        <sz val="8"/>
        <color rgb="FF363636"/>
        <rFont val="Arial MT"/>
        <family val="2"/>
      </rPr>
      <t>Unit1/1.00 111</t>
    </r>
  </si>
  <si>
    <r>
      <rPr>
        <sz val="8"/>
        <color rgb="FF363636"/>
        <rFont val="Arial MT"/>
        <family val="2"/>
      </rPr>
      <t>Floyd Johnson</t>
    </r>
  </si>
  <si>
    <r>
      <rPr>
        <sz val="8"/>
        <color rgb="FF363636"/>
        <rFont val="Arial MT"/>
        <family val="2"/>
      </rPr>
      <t>Unit1/1.00 110</t>
    </r>
  </si>
  <si>
    <r>
      <rPr>
        <sz val="8"/>
        <color rgb="FF363636"/>
        <rFont val="Arial MT"/>
        <family val="2"/>
      </rPr>
      <t>Anita Rincon</t>
    </r>
  </si>
  <si>
    <r>
      <rPr>
        <sz val="8"/>
        <color rgb="FF363636"/>
        <rFont val="Arial MT"/>
        <family val="2"/>
      </rPr>
      <t>Unit2/1.00 109</t>
    </r>
  </si>
  <si>
    <r>
      <rPr>
        <sz val="8"/>
        <color rgb="FF363636"/>
        <rFont val="Arial MT"/>
        <family val="2"/>
      </rPr>
      <t>Crystal Brazile</t>
    </r>
  </si>
  <si>
    <r>
      <rPr>
        <sz val="8"/>
        <color rgb="FF363636"/>
        <rFont val="Arial MT"/>
        <family val="2"/>
      </rPr>
      <t>Unit2/1.00 108</t>
    </r>
  </si>
  <si>
    <r>
      <rPr>
        <sz val="8"/>
        <color rgb="FF363636"/>
        <rFont val="Arial MT"/>
        <family val="2"/>
      </rPr>
      <t>Gloria Nzeadibe</t>
    </r>
  </si>
  <si>
    <r>
      <rPr>
        <sz val="8"/>
        <color rgb="FF363636"/>
        <rFont val="Arial MT"/>
        <family val="2"/>
      </rPr>
      <t>Unit1/1.00 107</t>
    </r>
  </si>
  <si>
    <r>
      <rPr>
        <sz val="8"/>
        <color rgb="FF363636"/>
        <rFont val="Arial MT"/>
        <family val="2"/>
      </rPr>
      <t>Victoria Burley</t>
    </r>
  </si>
  <si>
    <r>
      <rPr>
        <sz val="8"/>
        <color rgb="FF363636"/>
        <rFont val="Arial MT"/>
        <family val="2"/>
      </rPr>
      <t>Unit1/1.00 106</t>
    </r>
  </si>
  <si>
    <r>
      <rPr>
        <sz val="8"/>
        <color rgb="FF363636"/>
        <rFont val="Arial MT"/>
        <family val="2"/>
      </rPr>
      <t>Tradavius Walker</t>
    </r>
  </si>
  <si>
    <r>
      <rPr>
        <sz val="8"/>
        <color rgb="FF363636"/>
        <rFont val="Arial MT"/>
        <family val="2"/>
      </rPr>
      <t>Unit1/1.00 105</t>
    </r>
  </si>
  <si>
    <r>
      <rPr>
        <sz val="8"/>
        <color rgb="FF363636"/>
        <rFont val="Arial MT"/>
        <family val="2"/>
      </rPr>
      <t>Audrey (GPH-Voucher) Jones</t>
    </r>
  </si>
  <si>
    <r>
      <rPr>
        <sz val="8"/>
        <color rgb="FF363636"/>
        <rFont val="Arial MT"/>
        <family val="2"/>
      </rPr>
      <t>Unit1/1.00 104</t>
    </r>
  </si>
  <si>
    <r>
      <rPr>
        <sz val="8"/>
        <color rgb="FF363636"/>
        <rFont val="Arial MT"/>
        <family val="2"/>
      </rPr>
      <t>Don Boyd (DHA - VOUCHER)</t>
    </r>
  </si>
  <si>
    <r>
      <rPr>
        <sz val="8"/>
        <color rgb="FF363636"/>
        <rFont val="Arial MT"/>
        <family val="2"/>
      </rPr>
      <t>Unit1/1.00 103</t>
    </r>
  </si>
  <si>
    <r>
      <rPr>
        <sz val="8"/>
        <color rgb="FF363636"/>
        <rFont val="Arial MT"/>
        <family val="2"/>
      </rPr>
      <t>James Burks</t>
    </r>
  </si>
  <si>
    <r>
      <rPr>
        <sz val="8"/>
        <color rgb="FF363636"/>
        <rFont val="Arial MT"/>
        <family val="2"/>
      </rPr>
      <t>Unit1/1.00 102</t>
    </r>
  </si>
  <si>
    <r>
      <rPr>
        <sz val="8"/>
        <color rgb="FF363636"/>
        <rFont val="Arial MT"/>
        <family val="2"/>
      </rPr>
      <t>Unit2/1.00 101</t>
    </r>
  </si>
  <si>
    <r>
      <rPr>
        <b/>
        <sz val="8"/>
        <color rgb="FF363636"/>
        <rFont val="Arial"/>
        <family val="2"/>
      </rPr>
      <t>Move-out</t>
    </r>
  </si>
  <si>
    <r>
      <rPr>
        <b/>
        <sz val="8"/>
        <color rgb="FF363636"/>
        <rFont val="Arial"/>
        <family val="2"/>
      </rPr>
      <t>Move-in</t>
    </r>
  </si>
  <si>
    <r>
      <rPr>
        <b/>
        <sz val="8"/>
        <color rgb="FF363636"/>
        <rFont val="Arial"/>
        <family val="2"/>
      </rPr>
      <t>Lease To</t>
    </r>
  </si>
  <si>
    <r>
      <rPr>
        <b/>
        <sz val="8"/>
        <color rgb="FF363636"/>
        <rFont val="Arial"/>
        <family val="2"/>
      </rPr>
      <t>Lease From</t>
    </r>
  </si>
  <si>
    <r>
      <rPr>
        <b/>
        <sz val="8"/>
        <color rgb="FF363636"/>
        <rFont val="Arial"/>
        <family val="2"/>
      </rPr>
      <t>Deposit</t>
    </r>
  </si>
  <si>
    <r>
      <rPr>
        <b/>
        <sz val="8"/>
        <color rgb="FF363636"/>
        <rFont val="Arial"/>
        <family val="2"/>
      </rPr>
      <t>Monthly Charges</t>
    </r>
  </si>
  <si>
    <r>
      <rPr>
        <b/>
        <sz val="8"/>
        <color rgb="FF363636"/>
        <rFont val="Arial"/>
        <family val="2"/>
      </rPr>
      <t>Rent</t>
    </r>
  </si>
  <si>
    <r>
      <rPr>
        <b/>
        <sz val="8"/>
        <color rgb="FF363636"/>
        <rFont val="Arial"/>
        <family val="2"/>
      </rPr>
      <t>Market Rent</t>
    </r>
  </si>
  <si>
    <r>
      <rPr>
        <b/>
        <sz val="8"/>
        <color rgb="FF363636"/>
        <rFont val="Arial"/>
        <family val="2"/>
      </rPr>
      <t>Sqft</t>
    </r>
  </si>
  <si>
    <r>
      <rPr>
        <b/>
        <sz val="8"/>
        <color rgb="FF363636"/>
        <rFont val="Arial"/>
        <family val="2"/>
      </rPr>
      <t>Status</t>
    </r>
  </si>
  <si>
    <r>
      <rPr>
        <b/>
        <sz val="8"/>
        <color rgb="FF363636"/>
        <rFont val="Arial"/>
        <family val="2"/>
      </rPr>
      <t>Tenant</t>
    </r>
  </si>
  <si>
    <r>
      <rPr>
        <b/>
        <sz val="8"/>
        <color rgb="FF363636"/>
        <rFont val="Arial"/>
        <family val="2"/>
      </rPr>
      <t>Unit Type</t>
    </r>
  </si>
  <si>
    <r>
      <rPr>
        <b/>
        <sz val="8"/>
        <color rgb="FF363636"/>
        <rFont val="Arial"/>
        <family val="2"/>
      </rPr>
      <t>BD/ BA</t>
    </r>
  </si>
  <si>
    <r>
      <rPr>
        <b/>
        <sz val="8"/>
        <color rgb="FF363636"/>
        <rFont val="Arial"/>
        <family val="2"/>
      </rPr>
      <t>Unit</t>
    </r>
  </si>
  <si>
    <r>
      <rPr>
        <b/>
        <sz val="9"/>
        <color rgb="FF323232"/>
        <rFont val="Arial"/>
        <family val="2"/>
      </rPr>
      <t>Oak Cliff Multifamily</t>
    </r>
    <r>
      <rPr>
        <sz val="9"/>
        <color rgb="FF323232"/>
        <rFont val="Arial MT"/>
        <family val="2"/>
      </rPr>
      <t xml:space="preserve">
</t>
    </r>
    <r>
      <rPr>
        <b/>
        <sz val="9"/>
        <color rgb="FF323232"/>
        <rFont val="Arial"/>
        <family val="2"/>
      </rPr>
      <t xml:space="preserve">As of: </t>
    </r>
    <r>
      <rPr>
        <sz val="9"/>
        <color rgb="FF323232"/>
        <rFont val="Arial MT"/>
        <family val="2"/>
      </rPr>
      <t xml:space="preserve">06/17/2026 (Today) 
</t>
    </r>
    <r>
      <rPr>
        <b/>
        <sz val="9"/>
        <color rgb="FF323232"/>
        <rFont val="Arial"/>
        <family val="2"/>
      </rPr>
      <t xml:space="preserve">Include Non-Revenue Units: </t>
    </r>
    <r>
      <rPr>
        <sz val="9"/>
        <color rgb="FF323232"/>
        <rFont val="Arial MT"/>
        <family val="2"/>
      </rPr>
      <t xml:space="preserve">No 
</t>
    </r>
    <r>
      <rPr>
        <b/>
        <sz val="9"/>
        <color rgb="FF323232"/>
        <rFont val="Arial"/>
        <family val="2"/>
      </rPr>
      <t xml:space="preserve">Include Advertised Rent: </t>
    </r>
    <r>
      <rPr>
        <sz val="9"/>
        <color rgb="FF323232"/>
        <rFont val="Arial MT"/>
        <family val="2"/>
      </rPr>
      <t>Yes</t>
    </r>
  </si>
  <si>
    <t>Adjusted Net Operating Income</t>
  </si>
  <si>
    <t>Total Negative Adjustments</t>
  </si>
  <si>
    <t>Property Taxes</t>
  </si>
  <si>
    <t>Negative Adjustments (-)</t>
  </si>
  <si>
    <t>Total Positive Adjustments</t>
  </si>
  <si>
    <t>Positive Adjustments (+)</t>
  </si>
  <si>
    <t>Net Income</t>
  </si>
  <si>
    <t>Net Operating Income</t>
  </si>
  <si>
    <t>Operating Expenses</t>
  </si>
  <si>
    <t>Capital Expenses</t>
  </si>
  <si>
    <t>CapEx-Miscellaneous Expense</t>
  </si>
  <si>
    <t>CapEx-HVAC</t>
  </si>
  <si>
    <t>CapEx-Computer Equipment &amp; Software</t>
  </si>
  <si>
    <t>Cap-Ex Flooring</t>
  </si>
  <si>
    <t>Taxes &amp; Insurance</t>
  </si>
  <si>
    <t>Property Insurance Expense</t>
  </si>
  <si>
    <t>Professional Fees</t>
  </si>
  <si>
    <t>Legal Fees</t>
  </si>
  <si>
    <t>Ownership Expenses</t>
  </si>
  <si>
    <t>Owner Payout</t>
  </si>
  <si>
    <t>General &amp; Administrative</t>
  </si>
  <si>
    <t>General - Miscellaneous Expense</t>
  </si>
  <si>
    <t>Employee - Recognition</t>
  </si>
  <si>
    <t>General - Website Design &amp; Maintenance</t>
  </si>
  <si>
    <t>Office - Computer Software License Fees</t>
  </si>
  <si>
    <t>General - Bank Charges</t>
  </si>
  <si>
    <t>Office - Telephone</t>
  </si>
  <si>
    <t>Office - Supplies</t>
  </si>
  <si>
    <t>Bad Debts</t>
  </si>
  <si>
    <t>Office - Equipment &amp; Maintenance</t>
  </si>
  <si>
    <t>Office - General Office Expense</t>
  </si>
  <si>
    <t>General Rent Concessions</t>
  </si>
  <si>
    <t>Bad Debt Recovery</t>
  </si>
  <si>
    <t>Resident Life</t>
  </si>
  <si>
    <t>Clubhouse Coffee / Refreshments</t>
  </si>
  <si>
    <t>Marketing &amp; Leasing</t>
  </si>
  <si>
    <t>Referral - Resident Referral Fees</t>
  </si>
  <si>
    <t>Advertising - Internet Vendors</t>
  </si>
  <si>
    <t>Clubhouse appeal</t>
  </si>
  <si>
    <t>Appeal - Model Expense</t>
  </si>
  <si>
    <t>Promotional - Giveaways &amp; Swag</t>
  </si>
  <si>
    <t>Appeal - Signage/Flags/Banners</t>
  </si>
  <si>
    <t>Promotional - Other</t>
  </si>
  <si>
    <t>Unit/Bedroom Utilities</t>
  </si>
  <si>
    <t>Internet - Resident Units</t>
  </si>
  <si>
    <t>Utility Billing Fee</t>
  </si>
  <si>
    <t>Common Area Utilities</t>
  </si>
  <si>
    <t>Trash Removal Contract</t>
  </si>
  <si>
    <t>Electric-Ancillary</t>
  </si>
  <si>
    <t>Water &amp; Sewer - House Meters</t>
  </si>
  <si>
    <t>Electric - House Meters</t>
  </si>
  <si>
    <t xml:space="preserve">Turnover Expense    </t>
  </si>
  <si>
    <t xml:space="preserve">Student Turnover - Interior Painting/Dry Wall     </t>
  </si>
  <si>
    <t>Turnover Expense</t>
  </si>
  <si>
    <t xml:space="preserve">Repairs &amp; Maintenance              </t>
  </si>
  <si>
    <t>Maintenance Supplies</t>
  </si>
  <si>
    <t>HVAC Supplies/Repairs</t>
  </si>
  <si>
    <t>Pool/Repairs</t>
  </si>
  <si>
    <t>Repairs &amp; Maintenance</t>
  </si>
  <si>
    <t>Payroll &amp; Related Costs</t>
  </si>
  <si>
    <t>Payroll Processing Service</t>
  </si>
  <si>
    <t>Payroll Taxes</t>
  </si>
  <si>
    <t>Payroll</t>
  </si>
  <si>
    <t>Mortgage</t>
  </si>
  <si>
    <t>Residential Other Revenues</t>
  </si>
  <si>
    <t>Utility Reimbursements - Residents</t>
  </si>
  <si>
    <t>Student Turnover - Miscellaneous Reimbursement</t>
  </si>
  <si>
    <t xml:space="preserve">  Student Turnover - General Cleaning</t>
  </si>
  <si>
    <t>Student Turnover - Carpet Cleaning Reimbursement</t>
  </si>
  <si>
    <t>Student Turnover - Interior Paint/Dry Wall Reimbursement</t>
  </si>
  <si>
    <t>Short Term Lease Premium</t>
  </si>
  <si>
    <t>Monthly Pet Rent</t>
  </si>
  <si>
    <t>Resident Transfer Fees</t>
  </si>
  <si>
    <t>Trash &amp; Cleaning Fees</t>
  </si>
  <si>
    <t>Resident Damage Assessments- Quarterly</t>
  </si>
  <si>
    <t>One-Time Pet Fees</t>
  </si>
  <si>
    <t>NSF Fees</t>
  </si>
  <si>
    <t>Miscellaneous Income</t>
  </si>
  <si>
    <t>Late Charges</t>
  </si>
  <si>
    <t>Residential Rental Adjustments</t>
  </si>
  <si>
    <t>Application Fees</t>
  </si>
  <si>
    <t>Utility set up fee-Recovery</t>
  </si>
  <si>
    <t>Gross Potential Rent</t>
  </si>
  <si>
    <t>Account</t>
  </si>
  <si>
    <t>April 2025 - Mar 2026</t>
  </si>
  <si>
    <t>Income Statement</t>
  </si>
  <si>
    <t>-- Vacant --</t>
  </si>
  <si>
    <t>Vacant Unrented Ready</t>
  </si>
  <si>
    <t>D1</t>
  </si>
  <si>
    <t>5-538-D</t>
  </si>
  <si>
    <t>Smith, Shantelle</t>
  </si>
  <si>
    <t>Occupied No Notice</t>
  </si>
  <si>
    <t>5-538-C</t>
  </si>
  <si>
    <t>Vacant Unrented Not Ready</t>
  </si>
  <si>
    <t>5-538-B</t>
  </si>
  <si>
    <t>Herrera, Miguel</t>
  </si>
  <si>
    <t>5-538-A</t>
  </si>
  <si>
    <t>Arroyo, Carlos</t>
  </si>
  <si>
    <t>OG</t>
  </si>
  <si>
    <t>5-537-B</t>
  </si>
  <si>
    <t>Miranda, Makario</t>
  </si>
  <si>
    <t>5-537-A</t>
  </si>
  <si>
    <t>Velarde, John</t>
  </si>
  <si>
    <t>F1</t>
  </si>
  <si>
    <t>5-537.5-B</t>
  </si>
  <si>
    <t>Brackin, Katherine</t>
  </si>
  <si>
    <t>5-537.5-A</t>
  </si>
  <si>
    <t>Vacant Rented Not Ready</t>
  </si>
  <si>
    <t>B1</t>
  </si>
  <si>
    <t>5-536-B</t>
  </si>
  <si>
    <t>5-536-A</t>
  </si>
  <si>
    <t>5-535-B</t>
  </si>
  <si>
    <t>Erickson, Bailey</t>
  </si>
  <si>
    <t>5-535-A</t>
  </si>
  <si>
    <t>Vrla, Jonathan</t>
  </si>
  <si>
    <t>5-534-B</t>
  </si>
  <si>
    <t>Perez, Preston</t>
  </si>
  <si>
    <t>5-534-A</t>
  </si>
  <si>
    <t>Zafiro, Victor</t>
  </si>
  <si>
    <t>5-533-B</t>
  </si>
  <si>
    <t>Sotelo, Anthony</t>
  </si>
  <si>
    <t>5-533-A</t>
  </si>
  <si>
    <t>Lamm, Hagen</t>
  </si>
  <si>
    <t>5-532-D</t>
  </si>
  <si>
    <t>5-532-C</t>
  </si>
  <si>
    <t>5-532-B</t>
  </si>
  <si>
    <t>Outlaw, Dalton</t>
  </si>
  <si>
    <t>5-532-A</t>
  </si>
  <si>
    <t>Villanueva, Jerson</t>
  </si>
  <si>
    <t>5-531-D</t>
  </si>
  <si>
    <t>5-531-C</t>
  </si>
  <si>
    <t>Davis, Matthew</t>
  </si>
  <si>
    <t>5-531-B</t>
  </si>
  <si>
    <t>5-531-A</t>
  </si>
  <si>
    <t>Ibarra, Anthony</t>
  </si>
  <si>
    <t>5-528-D</t>
  </si>
  <si>
    <t>Rivera, Alexander</t>
  </si>
  <si>
    <t>5-528-C</t>
  </si>
  <si>
    <t>5-528-B</t>
  </si>
  <si>
    <t>Cadena, Blas</t>
  </si>
  <si>
    <t>Notice Unrented</t>
  </si>
  <si>
    <t>5-528-A</t>
  </si>
  <si>
    <t>5-527-B</t>
  </si>
  <si>
    <t>5-527-A</t>
  </si>
  <si>
    <t>5-527.5-B</t>
  </si>
  <si>
    <t>contreras, jose</t>
  </si>
  <si>
    <t>5-527.5-A</t>
  </si>
  <si>
    <t>5-526-B</t>
  </si>
  <si>
    <t>Lacey, Jaden</t>
  </si>
  <si>
    <t>5-526-A</t>
  </si>
  <si>
    <t>Hinojosa, Stephanie</t>
  </si>
  <si>
    <t>5-525-B</t>
  </si>
  <si>
    <t>Mackeown, Danielle</t>
  </si>
  <si>
    <t>5-525-A</t>
  </si>
  <si>
    <t>Hawes, Blade</t>
  </si>
  <si>
    <t>5-524-B</t>
  </si>
  <si>
    <t>5-524-A</t>
  </si>
  <si>
    <t>5-523-B</t>
  </si>
  <si>
    <t>Miller, Genaveve</t>
  </si>
  <si>
    <t>5-523-A</t>
  </si>
  <si>
    <t>Woosley, Madisyn</t>
  </si>
  <si>
    <t>5-522-D</t>
  </si>
  <si>
    <t>Rodriguez, Roxanne</t>
  </si>
  <si>
    <t>5-522-C</t>
  </si>
  <si>
    <t>Ramirez, Isavel</t>
  </si>
  <si>
    <t>5-522-B</t>
  </si>
  <si>
    <t>Melton, Tiana</t>
  </si>
  <si>
    <t>5-522-A</t>
  </si>
  <si>
    <t>Edwards, Kentavious</t>
  </si>
  <si>
    <t>5-521-D</t>
  </si>
  <si>
    <t>Hairston, Climmie</t>
  </si>
  <si>
    <t>5-521-C</t>
  </si>
  <si>
    <t>5-521-B</t>
  </si>
  <si>
    <t>Vacant Rented Ready</t>
  </si>
  <si>
    <t>5-521-A</t>
  </si>
  <si>
    <t>Hernandez, Andrew</t>
  </si>
  <si>
    <t>5-518-D</t>
  </si>
  <si>
    <t>5-518-C</t>
  </si>
  <si>
    <t>5-518-B</t>
  </si>
  <si>
    <t>5-518-A</t>
  </si>
  <si>
    <t>Moreno Alba, Saira</t>
  </si>
  <si>
    <t>5-517-D</t>
  </si>
  <si>
    <t>Haghjoo, Roham</t>
  </si>
  <si>
    <t>5-517-C</t>
  </si>
  <si>
    <t>Martinez, Natalie</t>
  </si>
  <si>
    <t>5-517-B</t>
  </si>
  <si>
    <t>Mora, Annelise</t>
  </si>
  <si>
    <t>5-517-A</t>
  </si>
  <si>
    <t>Klemke, Colton</t>
  </si>
  <si>
    <t>5-516-B</t>
  </si>
  <si>
    <t>Haynes, Timothy</t>
  </si>
  <si>
    <t>5-516-A</t>
  </si>
  <si>
    <t>Barczynski, Juila</t>
  </si>
  <si>
    <t>5-515-B</t>
  </si>
  <si>
    <t>Hampton, KIm</t>
  </si>
  <si>
    <t>5-515-A</t>
  </si>
  <si>
    <t>5-514-B</t>
  </si>
  <si>
    <t>Schertz, Landen</t>
  </si>
  <si>
    <t>5-514-A</t>
  </si>
  <si>
    <t>Innocent, Oluwakemi</t>
  </si>
  <si>
    <t>5-513-B</t>
  </si>
  <si>
    <t>5-513-A</t>
  </si>
  <si>
    <t>5-512-D</t>
  </si>
  <si>
    <t>Ward, Tye</t>
  </si>
  <si>
    <t>5-512-C</t>
  </si>
  <si>
    <t>5-512-B</t>
  </si>
  <si>
    <t>Fluellen, Rohan</t>
  </si>
  <si>
    <t>5-512-A</t>
  </si>
  <si>
    <t>5-511-D</t>
  </si>
  <si>
    <t>5-511-C</t>
  </si>
  <si>
    <t>5-511-B</t>
  </si>
  <si>
    <t>Manderson, Norman</t>
  </si>
  <si>
    <t>Notice Rented</t>
  </si>
  <si>
    <t>5-511-A</t>
  </si>
  <si>
    <t>4-434-D</t>
  </si>
  <si>
    <t>Nieto, Jennifer</t>
  </si>
  <si>
    <t>4-434-C</t>
  </si>
  <si>
    <t>4-434-B</t>
  </si>
  <si>
    <t>Coronado, Amaya</t>
  </si>
  <si>
    <t>4-434-A</t>
  </si>
  <si>
    <t>Sierra, Adrian</t>
  </si>
  <si>
    <t>4-433-D</t>
  </si>
  <si>
    <t>4-433-C</t>
  </si>
  <si>
    <t>Hawkins, Keyshawn</t>
  </si>
  <si>
    <t>4-433-B</t>
  </si>
  <si>
    <t>Burley, Christian</t>
  </si>
  <si>
    <t>4-433-A</t>
  </si>
  <si>
    <t>4-432-D</t>
  </si>
  <si>
    <t>Sandoval, Jorge</t>
  </si>
  <si>
    <t>4-432-C</t>
  </si>
  <si>
    <t>McWilliams, Sontea</t>
  </si>
  <si>
    <t>4-432-B</t>
  </si>
  <si>
    <t>Mendoza, Kiara</t>
  </si>
  <si>
    <t>4-432-A</t>
  </si>
  <si>
    <t>raymond, joshua</t>
  </si>
  <si>
    <t>4-431-D</t>
  </si>
  <si>
    <t>4-431-C</t>
  </si>
  <si>
    <t>4-431-B</t>
  </si>
  <si>
    <t>4-431-A</t>
  </si>
  <si>
    <t>Cuellar-Gesada, Yasiel</t>
  </si>
  <si>
    <t>4-424-D</t>
  </si>
  <si>
    <t>Gonzalez-Zayas, Edel</t>
  </si>
  <si>
    <t>4-424-C</t>
  </si>
  <si>
    <t>Espinosa Diaz, Adrian</t>
  </si>
  <si>
    <t>4-424-B</t>
  </si>
  <si>
    <t>Acosta, Yoeldy</t>
  </si>
  <si>
    <t>4-424-A</t>
  </si>
  <si>
    <t>4-423-D</t>
  </si>
  <si>
    <t>Melendez, Haylee</t>
  </si>
  <si>
    <t>4-423-C</t>
  </si>
  <si>
    <t>4-423-B</t>
  </si>
  <si>
    <t>4-423-A</t>
  </si>
  <si>
    <t>4-422-D</t>
  </si>
  <si>
    <t>Nichols, Courtney</t>
  </si>
  <si>
    <t>4-422-C</t>
  </si>
  <si>
    <t>Thorne, Thomas</t>
  </si>
  <si>
    <t>4-422-B</t>
  </si>
  <si>
    <t>4-422-A</t>
  </si>
  <si>
    <t>4-421-D</t>
  </si>
  <si>
    <t>Markham, Jayden</t>
  </si>
  <si>
    <t>4-421-C</t>
  </si>
  <si>
    <t>4-421-B</t>
  </si>
  <si>
    <t>Goettsche, Jacob</t>
  </si>
  <si>
    <t>4-421-A</t>
  </si>
  <si>
    <t>4-414-D</t>
  </si>
  <si>
    <t>Scott, Sierra</t>
  </si>
  <si>
    <t>4-414-C</t>
  </si>
  <si>
    <t>4-414-B</t>
  </si>
  <si>
    <t>4-414-A</t>
  </si>
  <si>
    <t>Bussey, Jacob</t>
  </si>
  <si>
    <t>4-413-D</t>
  </si>
  <si>
    <t>4-413-C</t>
  </si>
  <si>
    <t>4-413-B</t>
  </si>
  <si>
    <t>4-413-A</t>
  </si>
  <si>
    <t>Fuqua, Bryson</t>
  </si>
  <si>
    <t>4-412-D</t>
  </si>
  <si>
    <t>4-412-C</t>
  </si>
  <si>
    <t>Cates, Jeanette</t>
  </si>
  <si>
    <t>4-412-B</t>
  </si>
  <si>
    <t>4-412-A</t>
  </si>
  <si>
    <t>4-411-D</t>
  </si>
  <si>
    <t>4-411-C</t>
  </si>
  <si>
    <t>4-411-B</t>
  </si>
  <si>
    <t>4-411-A</t>
  </si>
  <si>
    <t>3-338-D</t>
  </si>
  <si>
    <t>Oluwafemi, Oluwademilade</t>
  </si>
  <si>
    <t>3-338-C</t>
  </si>
  <si>
    <t>3-338-B</t>
  </si>
  <si>
    <t>3-338-A</t>
  </si>
  <si>
    <t>3-337-D</t>
  </si>
  <si>
    <t>Diver, Matthew</t>
  </si>
  <si>
    <t>3-337-C</t>
  </si>
  <si>
    <t>Basilio, Raul</t>
  </si>
  <si>
    <t>3-337-B</t>
  </si>
  <si>
    <t>3-337-A</t>
  </si>
  <si>
    <t>Li, Peiyang</t>
  </si>
  <si>
    <t>3-336-B</t>
  </si>
  <si>
    <t>3-336-A</t>
  </si>
  <si>
    <t>Western, Nathan</t>
  </si>
  <si>
    <t>3-335-B</t>
  </si>
  <si>
    <t>3-335-A</t>
  </si>
  <si>
    <t>Guerrero, Gabriel</t>
  </si>
  <si>
    <t>3-334-B</t>
  </si>
  <si>
    <t>Erickson, Aaron</t>
  </si>
  <si>
    <t>3-334-A</t>
  </si>
  <si>
    <t>DuBois, Kirstyn</t>
  </si>
  <si>
    <t>3-333-B</t>
  </si>
  <si>
    <t>Harvell, Ashlyn</t>
  </si>
  <si>
    <t>3-333-A</t>
  </si>
  <si>
    <t>3-332-D</t>
  </si>
  <si>
    <t>Keeler, Phoenix</t>
  </si>
  <si>
    <t>3-332-C</t>
  </si>
  <si>
    <t>McCray, Nicolaus</t>
  </si>
  <si>
    <t>3-332-B</t>
  </si>
  <si>
    <t>Sanchez, Gabriel</t>
  </si>
  <si>
    <t>3-332-A</t>
  </si>
  <si>
    <t>Urquidez, Phillip</t>
  </si>
  <si>
    <t>3-331-D</t>
  </si>
  <si>
    <t>Brodecky, Brocc</t>
  </si>
  <si>
    <t>3-331-C</t>
  </si>
  <si>
    <t>Tellez, Ethan</t>
  </si>
  <si>
    <t>3-331-B</t>
  </si>
  <si>
    <t>KILLION, WILL</t>
  </si>
  <si>
    <t>3-331-A</t>
  </si>
  <si>
    <t>Dalitz, Christopher</t>
  </si>
  <si>
    <t>3-328-B</t>
  </si>
  <si>
    <t>3-328-A</t>
  </si>
  <si>
    <t>Vallejo Paz, Hector</t>
  </si>
  <si>
    <t>3-328.5-B</t>
  </si>
  <si>
    <t>3-328.5-A</t>
  </si>
  <si>
    <t>3-327-D</t>
  </si>
  <si>
    <t>3-327-C</t>
  </si>
  <si>
    <t>Villegas, Esperanza</t>
  </si>
  <si>
    <t>3-327-B</t>
  </si>
  <si>
    <t>Barrios, Krystal</t>
  </si>
  <si>
    <t>3-327-A</t>
  </si>
  <si>
    <t>3-326-B</t>
  </si>
  <si>
    <t>Hodges, Sydney</t>
  </si>
  <si>
    <t>3-326-A</t>
  </si>
  <si>
    <t>Long, Sierra</t>
  </si>
  <si>
    <t>3-325-B</t>
  </si>
  <si>
    <t>Back, Gracie</t>
  </si>
  <si>
    <t>3-325-A</t>
  </si>
  <si>
    <t>Hickey, Riley</t>
  </si>
  <si>
    <t>3-324-B</t>
  </si>
  <si>
    <t>Hull, Britten</t>
  </si>
  <si>
    <t>3-324-A</t>
  </si>
  <si>
    <t>Elliott, Chamberlaigne</t>
  </si>
  <si>
    <t>3-323-B</t>
  </si>
  <si>
    <t>Alderete, Gabriella</t>
  </si>
  <si>
    <t>3-323-A</t>
  </si>
  <si>
    <t>Hilleary, Jessie</t>
  </si>
  <si>
    <t>3-322-D</t>
  </si>
  <si>
    <t>Hernandez, Ely</t>
  </si>
  <si>
    <t>3-322-C</t>
  </si>
  <si>
    <t>Sim, Gavin</t>
  </si>
  <si>
    <t>3-322-B</t>
  </si>
  <si>
    <t>3-322-A</t>
  </si>
  <si>
    <t>3-321-D</t>
  </si>
  <si>
    <t>Lara, Faustino</t>
  </si>
  <si>
    <t>3-321-C</t>
  </si>
  <si>
    <t>3-321-B</t>
  </si>
  <si>
    <t>Morin, Zayden</t>
  </si>
  <si>
    <t>3-321-A</t>
  </si>
  <si>
    <t>Bibb, Certes</t>
  </si>
  <si>
    <t>3-318-D</t>
  </si>
  <si>
    <t>Bibb, Mirage</t>
  </si>
  <si>
    <t>3-318-C</t>
  </si>
  <si>
    <t>Hatten, Montrel</t>
  </si>
  <si>
    <t>3-318-B</t>
  </si>
  <si>
    <t>Taylor, Kevin</t>
  </si>
  <si>
    <t>3-318-A</t>
  </si>
  <si>
    <t>Arriechis, Aglis</t>
  </si>
  <si>
    <t>3-317-D</t>
  </si>
  <si>
    <t>Vasquez, John</t>
  </si>
  <si>
    <t>3-317-C</t>
  </si>
  <si>
    <t>Villa, Gabriel</t>
  </si>
  <si>
    <t>3-317-B</t>
  </si>
  <si>
    <t>Johnson, Andre</t>
  </si>
  <si>
    <t>3-317-A</t>
  </si>
  <si>
    <t>3-316-B</t>
  </si>
  <si>
    <t>3-316-A</t>
  </si>
  <si>
    <t>Gonzalez (Smith), Peyton</t>
  </si>
  <si>
    <t>3-315-B</t>
  </si>
  <si>
    <t>3-315-A</t>
  </si>
  <si>
    <t>Sosa, Priscilla</t>
  </si>
  <si>
    <t>3-314-B</t>
  </si>
  <si>
    <t>3-314-A</t>
  </si>
  <si>
    <t>3-313-B</t>
  </si>
  <si>
    <t>Field, Marcus</t>
  </si>
  <si>
    <t>3-313-A</t>
  </si>
  <si>
    <t>3-312-D</t>
  </si>
  <si>
    <t>3-312-C</t>
  </si>
  <si>
    <t>3-312-B</t>
  </si>
  <si>
    <t>Flowers, Chloe</t>
  </si>
  <si>
    <t>3-312-A</t>
  </si>
  <si>
    <t>Pena, Roque</t>
  </si>
  <si>
    <t>3-311-D</t>
  </si>
  <si>
    <t>3-311-C</t>
  </si>
  <si>
    <t>3-311-B</t>
  </si>
  <si>
    <t>Gwynn, Dylan</t>
  </si>
  <si>
    <t>3-311-A</t>
  </si>
  <si>
    <t>2-238-D</t>
  </si>
  <si>
    <t>Cohan, Mackenzie</t>
  </si>
  <si>
    <t>2-238-C</t>
  </si>
  <si>
    <t>2-238-B</t>
  </si>
  <si>
    <t>Rocha, Celeste</t>
  </si>
  <si>
    <t>2-238-A</t>
  </si>
  <si>
    <t>2-237-D</t>
  </si>
  <si>
    <t>2-237-C</t>
  </si>
  <si>
    <t>2-237-B</t>
  </si>
  <si>
    <t>Baxter, Tyriana</t>
  </si>
  <si>
    <t>2-237-A</t>
  </si>
  <si>
    <t>Engel, Ella</t>
  </si>
  <si>
    <t>2-236-B</t>
  </si>
  <si>
    <t>Price, Amelya</t>
  </si>
  <si>
    <t>2-236-A</t>
  </si>
  <si>
    <t>Brambila, Marco</t>
  </si>
  <si>
    <t>2-235-B</t>
  </si>
  <si>
    <t>2-235-A</t>
  </si>
  <si>
    <t>Hicks, Drekkerius</t>
  </si>
  <si>
    <t>2-234-B</t>
  </si>
  <si>
    <t>King, Carson</t>
  </si>
  <si>
    <t>2-234-A</t>
  </si>
  <si>
    <t>Mysse, Karina</t>
  </si>
  <si>
    <t>2-233-B</t>
  </si>
  <si>
    <t>Sallee, Camary</t>
  </si>
  <si>
    <t>2-233-A</t>
  </si>
  <si>
    <t>Rincon, Andony</t>
  </si>
  <si>
    <t>2-232-D</t>
  </si>
  <si>
    <t>Dailey, Tanisha</t>
  </si>
  <si>
    <t>2-232-C</t>
  </si>
  <si>
    <t>Montalvo, Victoria</t>
  </si>
  <si>
    <t>2-232-B</t>
  </si>
  <si>
    <t>Garcia, Roxanna</t>
  </si>
  <si>
    <t>2-232-A</t>
  </si>
  <si>
    <t>2-231-D</t>
  </si>
  <si>
    <t>Champion, Xavier</t>
  </si>
  <si>
    <t>2-231-C</t>
  </si>
  <si>
    <t>Munoz, Jimmy</t>
  </si>
  <si>
    <t>2-231-B</t>
  </si>
  <si>
    <t>Trejo, Jose</t>
  </si>
  <si>
    <t>2-231-A</t>
  </si>
  <si>
    <t>2-228-D</t>
  </si>
  <si>
    <t>2-228-C</t>
  </si>
  <si>
    <t>Larraga, Diana</t>
  </si>
  <si>
    <t>2-228-B</t>
  </si>
  <si>
    <t>Taber, Isla</t>
  </si>
  <si>
    <t>2-228-A</t>
  </si>
  <si>
    <t>Reyes, Gabriel</t>
  </si>
  <si>
    <t>2-227-D</t>
  </si>
  <si>
    <t>Chavez, Adrian</t>
  </si>
  <si>
    <t>2-227-C</t>
  </si>
  <si>
    <t>Willey, ConLer</t>
  </si>
  <si>
    <t>2-227-B</t>
  </si>
  <si>
    <t>Morales, Janny</t>
  </si>
  <si>
    <t>2-227-A</t>
  </si>
  <si>
    <t>Crosier, Bryleigh</t>
  </si>
  <si>
    <t>2-226-B</t>
  </si>
  <si>
    <t>Heilman, Kaitlyn</t>
  </si>
  <si>
    <t>2-226-A</t>
  </si>
  <si>
    <t>Ninemire, Garrett</t>
  </si>
  <si>
    <t>2-225-B</t>
  </si>
  <si>
    <t>Hutcherson, Joshua</t>
  </si>
  <si>
    <t>2-225-A</t>
  </si>
  <si>
    <t>Ashrafi, Hannah</t>
  </si>
  <si>
    <t>2-224-B</t>
  </si>
  <si>
    <t>Ashrafi, Roya</t>
  </si>
  <si>
    <t>2-224-A</t>
  </si>
  <si>
    <t>Allen, Isaiah</t>
  </si>
  <si>
    <t>2-223-B</t>
  </si>
  <si>
    <t>Walpole, Charles</t>
  </si>
  <si>
    <t>2-223-A</t>
  </si>
  <si>
    <t>2-222-D</t>
  </si>
  <si>
    <t>Julian, Dominic</t>
  </si>
  <si>
    <t>2-222-C</t>
  </si>
  <si>
    <t>Smith, Seth</t>
  </si>
  <si>
    <t>2-222-B</t>
  </si>
  <si>
    <t>Tajjiou-noble, Abdl-ille</t>
  </si>
  <si>
    <t>2-222-A</t>
  </si>
  <si>
    <t>Talley, Gideon</t>
  </si>
  <si>
    <t>2-221-D</t>
  </si>
  <si>
    <t>Hernandez, Tristan</t>
  </si>
  <si>
    <t>2-221-C</t>
  </si>
  <si>
    <t>2-221-B</t>
  </si>
  <si>
    <t>Stringer, Berkley</t>
  </si>
  <si>
    <t>2-221-A</t>
  </si>
  <si>
    <t>Tordt, Tesla</t>
  </si>
  <si>
    <t>2-218-D</t>
  </si>
  <si>
    <t>Garcia, Brenda</t>
  </si>
  <si>
    <t>2-218-C</t>
  </si>
  <si>
    <t>Soto, Nayeli</t>
  </si>
  <si>
    <t>2-218-B</t>
  </si>
  <si>
    <t>Green, Brandy</t>
  </si>
  <si>
    <t>2-218-A</t>
  </si>
  <si>
    <t>2-217-D</t>
  </si>
  <si>
    <t>2-217-C</t>
  </si>
  <si>
    <t>Keenan, Cole</t>
  </si>
  <si>
    <t>2-217-B</t>
  </si>
  <si>
    <t>2-217-A</t>
  </si>
  <si>
    <t>Camargo, Krisa</t>
  </si>
  <si>
    <t>2-216-B</t>
  </si>
  <si>
    <t>2-216-A</t>
  </si>
  <si>
    <t>2-215-B</t>
  </si>
  <si>
    <t>Sawyer, Chloe</t>
  </si>
  <si>
    <t>2-215-A</t>
  </si>
  <si>
    <t>Pyle, Owen</t>
  </si>
  <si>
    <t>2-214-B</t>
  </si>
  <si>
    <t>Jenkins, Andrew</t>
  </si>
  <si>
    <t>2-214-A</t>
  </si>
  <si>
    <t>Shepard, Austin</t>
  </si>
  <si>
    <t>2-213-B</t>
  </si>
  <si>
    <t>Cooper, Hayden</t>
  </si>
  <si>
    <t>2-213-A</t>
  </si>
  <si>
    <t>Mckeel, Jazmyn</t>
  </si>
  <si>
    <t>2-212-D</t>
  </si>
  <si>
    <t>Carroll, Eleri</t>
  </si>
  <si>
    <t>2-212-C</t>
  </si>
  <si>
    <t>Gilmore, Nicholas</t>
  </si>
  <si>
    <t>2-212-B</t>
  </si>
  <si>
    <t>Salinas, Mavree</t>
  </si>
  <si>
    <t>2-212-A</t>
  </si>
  <si>
    <t>2-211-D</t>
  </si>
  <si>
    <t>Osborne, Bryson</t>
  </si>
  <si>
    <t>2-211-C</t>
  </si>
  <si>
    <t>Cumby, Kaden</t>
  </si>
  <si>
    <t>2-211-B</t>
  </si>
  <si>
    <t>Bradshaw, Carson</t>
  </si>
  <si>
    <t>2-211-A</t>
  </si>
  <si>
    <t>Puentes, Ivonne</t>
  </si>
  <si>
    <t>1-138-D</t>
  </si>
  <si>
    <t>Monsalve, Elisa</t>
  </si>
  <si>
    <t>1-138-C</t>
  </si>
  <si>
    <t>High, Ava-Marie</t>
  </si>
  <si>
    <t>1-138-B</t>
  </si>
  <si>
    <t>1-138-A</t>
  </si>
  <si>
    <t>Escalante, Samantha</t>
  </si>
  <si>
    <t>1-137-D</t>
  </si>
  <si>
    <t>Salas, Janessa</t>
  </si>
  <si>
    <t>1-137-C</t>
  </si>
  <si>
    <t>Alba, Elena</t>
  </si>
  <si>
    <t>1-137-B</t>
  </si>
  <si>
    <t>1-137-A</t>
  </si>
  <si>
    <t>1-136-B</t>
  </si>
  <si>
    <t>Estes, Emily</t>
  </si>
  <si>
    <t>1-136-A</t>
  </si>
  <si>
    <t>Rodriguez Sanchez, Hilda</t>
  </si>
  <si>
    <t>1-135-B</t>
  </si>
  <si>
    <t>Myers, Quintine</t>
  </si>
  <si>
    <t>1-135-A</t>
  </si>
  <si>
    <t>Mescher, Lindsey</t>
  </si>
  <si>
    <t>1-134-B</t>
  </si>
  <si>
    <t>Trammell, Dara</t>
  </si>
  <si>
    <t>1-134-A</t>
  </si>
  <si>
    <t>Alshaif, Bashir</t>
  </si>
  <si>
    <t>1-133-B</t>
  </si>
  <si>
    <t>Alshyef, Amin</t>
  </si>
  <si>
    <t>1-133-A</t>
  </si>
  <si>
    <t>Rodriguez, Fredi</t>
  </si>
  <si>
    <t>1-132-B</t>
  </si>
  <si>
    <t>1-132-A</t>
  </si>
  <si>
    <t>Ramsey, Kenneth</t>
  </si>
  <si>
    <t>1-132.5-B</t>
  </si>
  <si>
    <t>Wilson, Emily</t>
  </si>
  <si>
    <t>1-132.5-A</t>
  </si>
  <si>
    <t>1-131-D</t>
  </si>
  <si>
    <t>Tijerina, Torrance</t>
  </si>
  <si>
    <t>1-131-C</t>
  </si>
  <si>
    <t>1-131-B</t>
  </si>
  <si>
    <t>Acheampong, Deborah</t>
  </si>
  <si>
    <t>1-131-A</t>
  </si>
  <si>
    <t>1-128-D</t>
  </si>
  <si>
    <t>1-128-C</t>
  </si>
  <si>
    <t>Ruter, Anna</t>
  </si>
  <si>
    <t>1-128-B</t>
  </si>
  <si>
    <t>Havekost, Catelyn</t>
  </si>
  <si>
    <t>1-128-A</t>
  </si>
  <si>
    <t>Packebush, Campbell</t>
  </si>
  <si>
    <t>1-127-D</t>
  </si>
  <si>
    <t>1-127-C</t>
  </si>
  <si>
    <t>Joseph, Jamaal</t>
  </si>
  <si>
    <t>1-127-B</t>
  </si>
  <si>
    <t>1-127-A</t>
  </si>
  <si>
    <t>Silva-Gomez, Yasmeen</t>
  </si>
  <si>
    <t>1-126-B</t>
  </si>
  <si>
    <t>Ruvalcaba, Marcela</t>
  </si>
  <si>
    <t>1-126-A</t>
  </si>
  <si>
    <t>Mills, Jordyn</t>
  </si>
  <si>
    <t>1-125-B</t>
  </si>
  <si>
    <t>Baez, Angelika</t>
  </si>
  <si>
    <t>1-125-A</t>
  </si>
  <si>
    <t>Host, Kayden</t>
  </si>
  <si>
    <t>1-124-B</t>
  </si>
  <si>
    <t>Hunt, Brennen</t>
  </si>
  <si>
    <t>1-124-A</t>
  </si>
  <si>
    <t>Hodgson, Violet</t>
  </si>
  <si>
    <t>1-123-B</t>
  </si>
  <si>
    <t>Podmolik, Peyton</t>
  </si>
  <si>
    <t>1-123-A</t>
  </si>
  <si>
    <t>1-122-B</t>
  </si>
  <si>
    <t>Cantu, Patricia</t>
  </si>
  <si>
    <t>1-122-A</t>
  </si>
  <si>
    <t>Long, Ryker</t>
  </si>
  <si>
    <t>1-122.5-B</t>
  </si>
  <si>
    <t>1-122.5-A</t>
  </si>
  <si>
    <t>Murray, Adam</t>
  </si>
  <si>
    <t>1-121-B</t>
  </si>
  <si>
    <t>1-121-A</t>
  </si>
  <si>
    <t>Whitman, James</t>
  </si>
  <si>
    <t>1-121.5-B</t>
  </si>
  <si>
    <t>1-121.5-A</t>
  </si>
  <si>
    <t>Dioquino, Jaron</t>
  </si>
  <si>
    <t>1-118-B</t>
  </si>
  <si>
    <t>Contreraz, Jacob Jr</t>
  </si>
  <si>
    <t>1-118-A</t>
  </si>
  <si>
    <t>Rasmussen, Joshua</t>
  </si>
  <si>
    <t>1-117-B</t>
  </si>
  <si>
    <t>Kell, Jordon</t>
  </si>
  <si>
    <t>1-117-A</t>
  </si>
  <si>
    <t>1-116-D</t>
  </si>
  <si>
    <t>Reynolds, Hunter</t>
  </si>
  <si>
    <t>1-116-C</t>
  </si>
  <si>
    <t>1-116-B</t>
  </si>
  <si>
    <t>1-116-A</t>
  </si>
  <si>
    <t>Warren, Kayla</t>
  </si>
  <si>
    <t>1-115-B</t>
  </si>
  <si>
    <t>Bonilla, Amy</t>
  </si>
  <si>
    <t>1-115-A</t>
  </si>
  <si>
    <t>1-114-D</t>
  </si>
  <si>
    <t>Castro, Jalynn</t>
  </si>
  <si>
    <t>1-114-C</t>
  </si>
  <si>
    <t>1-114-B</t>
  </si>
  <si>
    <t>Smith, Sydni</t>
  </si>
  <si>
    <t>1-114-A</t>
  </si>
  <si>
    <t>Robles, Mariah</t>
  </si>
  <si>
    <t>1-113-B</t>
  </si>
  <si>
    <t>Robles, Kimberlee</t>
  </si>
  <si>
    <t>1-113-A</t>
  </si>
  <si>
    <t>Model 4, Canyon</t>
  </si>
  <si>
    <t>1-112-D</t>
  </si>
  <si>
    <t>Model 3, Canyon</t>
  </si>
  <si>
    <t>1-112-C</t>
  </si>
  <si>
    <t>Model 2, Canyon</t>
  </si>
  <si>
    <t>1-112-B</t>
  </si>
  <si>
    <t>Model 1, Canyon</t>
  </si>
  <si>
    <t>1-112-A</t>
  </si>
  <si>
    <t>Deposit Held</t>
  </si>
  <si>
    <t>Balance</t>
  </si>
  <si>
    <t>Scheduled Charges</t>
  </si>
  <si>
    <t>Actual Charges</t>
  </si>
  <si>
    <t>Expected Move-Out</t>
  </si>
  <si>
    <t>Lease End</t>
  </si>
  <si>
    <t>Lease Start</t>
  </si>
  <si>
    <t>Move-In</t>
  </si>
  <si>
    <t>Resident</t>
  </si>
  <si>
    <t>Unit Status</t>
  </si>
  <si>
    <t>SQFT</t>
  </si>
  <si>
    <t>Unit Type</t>
  </si>
  <si>
    <t>Bldg-Unit</t>
  </si>
  <si>
    <t>112 units | Built 1975 | T-12: Apr 2025–Mar 2026 | Independent / Conservative Case</t>
  </si>
  <si>
    <t>KEY ASSUMPTIONS</t>
  </si>
  <si>
    <t>FINANCING &amp; EXIT</t>
  </si>
  <si>
    <t># Units</t>
  </si>
  <si>
    <t>Year Built</t>
  </si>
  <si>
    <t>Total SF</t>
  </si>
  <si>
    <t>Purchase Price</t>
  </si>
  <si>
    <t>Price / Unit</t>
  </si>
  <si>
    <t>Hold Period (yrs)</t>
  </si>
  <si>
    <t>Rent Growth (annual)</t>
  </si>
  <si>
    <t>Other Income Growth</t>
  </si>
  <si>
    <t>Expense Inflation</t>
  </si>
  <si>
    <t>Stabilized Econ. Vacancy</t>
  </si>
  <si>
    <t>Mgmt Fee (% EGI)</t>
  </si>
  <si>
    <t>Replacement Reserves ($/unit)</t>
  </si>
  <si>
    <t>Reno Premium ($/unit/mo)</t>
  </si>
  <si>
    <t>Renovation Budget ($)</t>
  </si>
  <si>
    <t>Loan-to-Price (LTV)</t>
  </si>
  <si>
    <t>Loan Amount</t>
  </si>
  <si>
    <t>Interest Rate</t>
  </si>
  <si>
    <t>Amortization (yrs)</t>
  </si>
  <si>
    <t>Closing Costs (% price)</t>
  </si>
  <si>
    <t>Going-in Cap (normalized)</t>
  </si>
  <si>
    <t>Exit Cap Rate</t>
  </si>
  <si>
    <t>Selling Costs (% sale)</t>
  </si>
  <si>
    <t>Total Equity Required</t>
  </si>
  <si>
    <t>IN-PLACE OPERATING STATEMENT (T-12, Normalized)</t>
  </si>
  <si>
    <t>T-12 Actual</t>
  </si>
  <si>
    <t>Rental Income (net of concessions/vouchers)</t>
  </si>
  <si>
    <t>Other Income (fees, utility, deposit/maint, misc)</t>
  </si>
  <si>
    <t>Effective Gross Income</t>
  </si>
  <si>
    <t>Contracted Services</t>
  </si>
  <si>
    <t>Cleaning &amp; Janitorial</t>
  </si>
  <si>
    <t>Utilities</t>
  </si>
  <si>
    <t>Insurance</t>
  </si>
  <si>
    <t>Onsite Salaries &amp; Wages</t>
  </si>
  <si>
    <t>General &amp; Administrative (incl. existing mgmt fee)</t>
  </si>
  <si>
    <t>Misc. Operating</t>
  </si>
  <si>
    <t>Total Operating Expenses (reported)</t>
  </si>
  <si>
    <t>NOI (as reported)</t>
  </si>
  <si>
    <t xml:space="preserve">  (–) Normalize mgmt fee up to 3.5% of EGI</t>
  </si>
  <si>
    <t xml:space="preserve">  (–) Add replacement reserves ($/unit)</t>
  </si>
  <si>
    <t>Normalized In-Place NOI</t>
  </si>
  <si>
    <t>Normalized Going-in Cap Rate</t>
  </si>
  <si>
    <t>PRO FORMA CASH FLOW</t>
  </si>
  <si>
    <t>In-Place</t>
  </si>
  <si>
    <t>Year 1</t>
  </si>
  <si>
    <t>Year 2</t>
  </si>
  <si>
    <t>Year 3</t>
  </si>
  <si>
    <t>Year 4</t>
  </si>
  <si>
    <t>Rental &amp; Other Income (grown)</t>
  </si>
  <si>
    <t>Renovation premium % achieved</t>
  </si>
  <si>
    <t>(+) Renovation Premium ($)</t>
  </si>
  <si>
    <t>Operating Expenses:</t>
  </si>
  <si>
    <t>Opex excl. mgmt fee &amp; reserves (inflated)</t>
  </si>
  <si>
    <t>Management Fee (% EGI)</t>
  </si>
  <si>
    <t>Replacement Reserves</t>
  </si>
  <si>
    <t>NET OPERATING INCOME</t>
  </si>
  <si>
    <t>NOI Margin</t>
  </si>
  <si>
    <t>DEBT SCHEDULE &amp; RETURNS</t>
  </si>
  <si>
    <t>Beginning Loan Balance</t>
  </si>
  <si>
    <t>Interest</t>
  </si>
  <si>
    <t>Principal Amortization</t>
  </si>
  <si>
    <t>Ending Loan Balance</t>
  </si>
  <si>
    <t>Annual Debt Service</t>
  </si>
  <si>
    <t>Less: Debt Service</t>
  </si>
  <si>
    <t>Levered Cash Flow from Operations</t>
  </si>
  <si>
    <t>Exit Value (Yr-5 fwd NOI / Exit Cap)</t>
  </si>
  <si>
    <t>Less: Selling Costs</t>
  </si>
  <si>
    <t>Less: Loan Payoff</t>
  </si>
  <si>
    <t>Net Sale Proceeds to Equity</t>
  </si>
  <si>
    <t>Levered Equity Cash Flow</t>
  </si>
  <si>
    <t>Unlevered Equity Cash Flow</t>
  </si>
  <si>
    <t>RETURNS (4-yr hold)</t>
  </si>
  <si>
    <t>Independent</t>
  </si>
  <si>
    <t>Sponsor</t>
  </si>
  <si>
    <t>Levered IRR</t>
  </si>
  <si>
    <t>Equity Multiple</t>
  </si>
  <si>
    <t>Avg. Cash-on-Cash</t>
  </si>
  <si>
    <t>Unlevered IRR</t>
  </si>
  <si>
    <t>n/a</t>
  </si>
  <si>
    <t>SENSITIVITY — Levered IRR</t>
  </si>
  <si>
    <t>Exit Cap \ Rent Growth</t>
  </si>
  <si>
    <t>KEY FINDINGS vs. SPONSOR</t>
  </si>
  <si>
    <t>• Normalized in-place NOI of ~$415K ties to the sponsor's stated 7.41% going-in cap — their entry basis checks out.</t>
  </si>
  <si>
    <t>• Sponsor projects a Year-4 sale at ~$11.6M (&gt;2x purchase). That implies exit NOI of ~$925K vs. my conservative ~$600K — a very aggressive NOI ramp.</t>
  </si>
  <si>
    <t>• On conservative assumptions (3% growth, $100 reno premium, 8.25% exit cap) the deal returns ~7.7% levered IRR / 1.32x — far below the sponsor's 22.4% / 2.03x.</t>
  </si>
  <si>
    <t>• Watch: TX property-tax reassessment to sale price could add materially to opex (T-12 taxes are only $62K). Reno funded in equity basis at close (conservative).</t>
  </si>
  <si>
    <t>• Only a one-pager was provided for Amarillo (no full rent-roll growth detail), so revenue is anchored to the T-12 effective income and grown.</t>
  </si>
  <si>
    <t>136 units | Built 1974 | South Dallas | T-12 rolling 12mo | Independent / Conservative Case</t>
  </si>
  <si>
    <t>Rent Premium (reno + MTM, $/unit/mo)</t>
  </si>
  <si>
    <t>Rental Income (net of concessions)</t>
  </si>
  <si>
    <t>Other Income (fees, parking, misc)</t>
  </si>
  <si>
    <t>Controllable Operating Expenses</t>
  </si>
  <si>
    <t>Management Fee</t>
  </si>
  <si>
    <t>Property Insurance</t>
  </si>
  <si>
    <t>Year 5</t>
  </si>
  <si>
    <t>Rent premium % achieved</t>
  </si>
  <si>
    <t>(+) Rent Premium ($)</t>
  </si>
  <si>
    <t xml:space="preserve">  (±) Normalize mgmt fee to 3.5% of EGI</t>
  </si>
  <si>
    <t>Exit Value (fwd NOI / Exit Cap)</t>
  </si>
  <si>
    <t>RETURNS (5-yr hold)</t>
  </si>
  <si>
    <t>SENSITIVITY — Levered IRR: Exit Cap (rows) × Rent Growth (cols)</t>
  </si>
  <si>
    <t>Exit Cap ↓ / Rent Growth →</t>
  </si>
  <si>
    <t>• Best in-place economics of the three: normalized ~9.7% going-in cap and ~$182/unit/mo loss-to-lease ($297K/yr) offer genuine mark-to-market upside.</t>
  </si>
  <si>
    <t>• My operating cash flow is credible — avg CoC 11.6% vs. sponsor 11.9%. The return GAP is almost entirely the sponsor's Year-2 refi (returns 100% of capital) and their 8.5% exit.</t>
  </si>
  <si>
    <t>• I did NOT credit the refinance (aggressive, rate/proceeds dependent) and used a 9.25% exit vs. sponsor 8.5% — my exit value $11.0M vs. their $15.8M.</t>
  </si>
  <si>
    <t>• Result: ~17.6% levered IRR / 2.03x on conservative assumptions — a solid deal even without the refi, vs. sponsor's 42.8% / 3.00x.</t>
  </si>
  <si>
    <t>• Watch: TX tax reassessment to $7.25M price (T-12 taxes $179K) and the ~$13.5K/unit reno budget executing on time.</t>
  </si>
  <si>
    <t>336 beds / 114 units | Built 2006 | Canyon, TX | Lease-up play (55% → stabilized) | Independent / Conservative Case</t>
  </si>
  <si>
    <t># Beds</t>
  </si>
  <si>
    <t>Price / Bed</t>
  </si>
  <si>
    <t>Effective Rent / Bed / Mo</t>
  </si>
  <si>
    <t>Replacement Reserves ($/bed)</t>
  </si>
  <si>
    <t>Property Tax Rate (% of price)</t>
  </si>
  <si>
    <t>Lease-up / Working Capital Reserve</t>
  </si>
  <si>
    <t>Going-in Cap (in-place, seller tax)</t>
  </si>
  <si>
    <t>T-12 (~55% occ)</t>
  </si>
  <si>
    <t>Rental Income (scheduled, ~55% occ)</t>
  </si>
  <si>
    <t>Other Income (fees, utility reimb.)</t>
  </si>
  <si>
    <t>Payroll &amp; Related</t>
  </si>
  <si>
    <t>Utilities (common + unit + turnover)</t>
  </si>
  <si>
    <t>Marketing</t>
  </si>
  <si>
    <t>G&amp;A &amp; Other</t>
  </si>
  <si>
    <t>Property Taxes (seller basis)</t>
  </si>
  <si>
    <t>Total True Operating Expenses</t>
  </si>
  <si>
    <t>NOI before mgmt fee &amp; reserves</t>
  </si>
  <si>
    <t xml:space="preserve">  (–) Management Fee (% EGI)</t>
  </si>
  <si>
    <t xml:space="preserve">  (–) Replacement Reserves ($/bed)</t>
  </si>
  <si>
    <t>Note: T-12 buried mortgage ($460K), owner distributions ($133K) &amp; capex ($12K) in opex — excluded here to isolate true property NOI. In-place NOI is depressed by 55% occupancy.</t>
  </si>
  <si>
    <t>PRO FORMA CASH FLOW (Lease-Up)</t>
  </si>
  <si>
    <t>Gross Potential Rent (100% occ)</t>
  </si>
  <si>
    <t>Economic Occupancy %</t>
  </si>
  <si>
    <t>Net Rental Income</t>
  </si>
  <si>
    <t>Other Income (inflated)</t>
  </si>
  <si>
    <t>Variable Opex (scales w/ occ &amp; infl.)</t>
  </si>
  <si>
    <t>Fixed Opex – Insurance &amp; Admin (infl.)</t>
  </si>
  <si>
    <t>Property Taxes (reassessed to price)</t>
  </si>
  <si>
    <t>SENSITIVITY — Levered IRR: Exit Cap (rows) × Rent/Bed (cols)</t>
  </si>
  <si>
    <t>Exit Cap ↓ / Rent/Bed →</t>
  </si>
  <si>
    <t>• Riskiest of the three. Paying $103K/unit ($35K/bed) for a 55%-occupied asset = only a ~6.0% in-place cap. Returns depend ENTIRELY on lease-up + rent execution.</t>
  </si>
  <si>
    <t>• Sponsor assumes 92.5% stabilization and exit NOI ~$1.59M; my conservative case reaches ~88% at $540/bed for a Year-4 NOI of ~$938K — exit $11.7M vs. their $19.8M.</t>
  </si>
  <si>
    <t>• On conservative assumptions the deal returns just ~2.6% IRR / 1.10x — it barely returns capital. The grid shows it needs ~$560+/bed AND a sub-8.25% exit to clear low-teens IRR.</t>
  </si>
  <si>
    <t>• Two costs the sponsor appears to under-model: property-tax reassessment to the $11.75M price (I use 2.0% = $235K vs. seller's $140K), and bridge financing (I use 65% LTV @ 7.0% vs. their 70% @ 6.0%).</t>
  </si>
  <si>
    <t>• Data caveat: T-12 buried debt service, owner draws &amp; capex in opex (rebuilt above); rent-roll 'market rent' column is unreliable, so revenue is driven off a per-bed rent input.</t>
  </si>
  <si>
    <t>BLUE LION EQUITY PARTNERS — Independent Underwriting Summary</t>
  </si>
  <si>
    <t>Three multifamily deals | Independent / conservative case vs. sponsor projections | All figures deal-level (pre-promote)</t>
  </si>
  <si>
    <t>AMARILLO</t>
  </si>
  <si>
    <t>OAK CLIFF</t>
  </si>
  <si>
    <t>WTAMSH</t>
  </si>
  <si>
    <t>Metric</t>
  </si>
  <si>
    <t>Units / Beds</t>
  </si>
  <si>
    <t>Price / Unit (Bed for WTAMSH)</t>
  </si>
  <si>
    <t>Exit / Sale Value</t>
  </si>
  <si>
    <t>Equity Required (deal / sponsor LP)</t>
  </si>
  <si>
    <t>RETURNS</t>
  </si>
  <si>
    <t>BOTTOM LINE</t>
  </si>
  <si>
    <t>Risk-adjusted ranking (independent case): 1) OAK CLIFF — best in-place cap (~9.7%) and ~$297K/yr loss-to-lease; clears ~17.6% IRR / 2.03x even WITHOUT the sponsor's Year-2 refi. 2) AMARILLO — entry basis checks out (7.4% cap ties to sponsor), but ~7.7% base case needs the full value-add to reach target returns. 3) WTAMSH — richly priced ($103K/unit) for a 55%-occupied asset; ~2.6% base case, only works if aggressive lease-up AND rents are achieved.</t>
  </si>
  <si>
    <t>Where the sponsor and I diverge: (a) exit caps — I underwrite 50-100 bps wider; (b) NOI ramp — my conservative cases sit well below theirs; (c) Oak Cliff Year-2 refinance returning 100% of capital — I do not credit it; (d) WTAMSH property-tax reassessment to purchase price — I add it, they appear not to.</t>
  </si>
  <si>
    <t>Assumptions I set (all blue inputs on each tab are yours to flex): 3% rent growth &amp; expense inflation; stabilized economic vacancy 7% (WTAMSH lease-up to 88%); management fee 3.5-4% of EGI and replacement reserves ADDED (the T-12s omit both); sponsor financing terms as base except WTAMSH (bridge: 65% LTV @ 7.0%).</t>
  </si>
  <si>
    <t>All returns are DEAL-LEVEL (before the GP promote, 8% preferred return, and 70/30 split). LP net-of-waterfall returns would be lower. Green = linked from property tabs; grey = sponsor's stated figures from the decks.</t>
  </si>
  <si>
    <t>Amarillo Multifamily</t>
  </si>
  <si>
    <t>West Texas A&amp;M Student Housing</t>
  </si>
  <si>
    <t>What the underwriting surfaced</t>
  </si>
  <si>
    <t>Amarillo - my normalized in-place NOI (~$415K) lands exactly on the sponsor's stated 7.41% going-in cap, so their entry basis checks out. But their Year-4 sale (&gt;2x purchase, ~$925K exit NOI vs my ~$600K) needs a very aggressive ramp.</t>
  </si>
  <si>
    <t>Oak Cliff - the strongest deal. Genuine ~$182/unit/mo loss-to-lease and a ~9.7% in-place cap; it clears ~17.6% even without the sponsor's Year-2 refi. The gap to their 42.8% is almost entirely that refi plus an 8.5% exit vs my 9.25%.</t>
  </si>
  <si>
    <t>WTAMSH - the riskiest. You're paying $35K/bed for a 55%-occupied asset (a 6.0% in-place cap), so returns hinge entirely on lease-up. Its T-12 also buried mortgage ($460K), owner draws ($133K) and capex in operating expenses - I stripped those out to isolate true NOI. On conservative assumptions it barely returns capital.</t>
  </si>
  <si>
    <t>My conservative levers (all blue inputs you can flex): 3% rent growth &amp; expense inflation, stabilized vacancy 7% (student 12%), a market mgmt fee + replacement reserves added (both T-12s omit them), exit caps above the sponsor's, and a property-tax reassessment on WTAMSH.</t>
  </si>
  <si>
    <r>
      <t>Two caveats worth knowing: returns are </t>
    </r>
    <r>
      <rPr>
        <sz val="11"/>
        <rFont val="Calibri"/>
        <family val="2"/>
      </rPr>
      <t>deal-level</t>
    </r>
    <r>
      <rPr>
        <sz val="11"/>
        <rFont val="Calibri"/>
        <family val="2"/>
      </rPr>
      <t> (LP net-of-waterfall would be lower after the 8% pref / 70-30 split), and Amarillo had only a one-pager, so its revenue is anchored to the T-12 rather than a full rent-roll build. Adjust any blue input and everything reflows.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</si>
</sst>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#,##0.00;[Red]\-#,##0.00"/>
    <numFmt numFmtId="165" formatCode="mm/dd/yyyy"/>
    <numFmt numFmtId="166" formatCode="#,##0;[Red]\-#,##0"/>
    <numFmt numFmtId="167" formatCode="\$#,##0.00"/>
    <numFmt numFmtId="168" formatCode="\$0.00"/>
    <numFmt numFmtId="169" formatCode="\$#,##0.00_);[Red]\(\$#,##0.00\)"/>
    <numFmt numFmtId="170" formatCode="\$0.00_);[Red]\(\$0.00\)"/>
    <numFmt numFmtId="171" formatCode="mm/dd/yyyy;@"/>
    <numFmt numFmtId="172" formatCode="_(* #,##0_);_(* \(#,##0\);_(* &quot;-&quot;??_);_(@_)"/>
    <numFmt numFmtId="173" formatCode="&quot;$&quot;#,##0"/>
    <numFmt numFmtId="174" formatCode="0.0%"/>
    <numFmt numFmtId="176" formatCode="&quot;$&quot;#,##0;\(&quot;$&quot;#,##0\);&quot;-&quot;"/>
    <numFmt numFmtId="178" formatCode="0.00&quot;x&quot;"/>
  </numFmts>
  <fonts count="52">
    <font>
      <sz val="11"/>
      <name val="Arial"/>
      <family val="1"/>
    </font>
    <font>
      <sz val="11"/>
      <color theme="1"/>
      <name val="Aptos Narrow"/>
      <family val="2"/>
      <scheme val="minor"/>
    </font>
    <font>
      <b/>
      <sz val="13"/>
      <color rgb="FF303030"/>
      <name val="Arial"/>
      <family val="1"/>
    </font>
    <font>
      <b/>
      <sz val="18"/>
      <color rgb="FF303030"/>
      <name val="Arial"/>
      <family val="1"/>
    </font>
    <font>
      <sz val="13"/>
      <color rgb="FF303030"/>
      <name val="Arial"/>
      <family val="1"/>
    </font>
    <font>
      <sz val="9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b/>
      <sz val="12"/>
      <color rgb="FF303030"/>
      <name val="Arial"/>
      <family val="1"/>
    </font>
    <font>
      <b/>
      <sz val="12"/>
      <color rgb="FF303030"/>
      <name val="Arial"/>
      <family val="1"/>
    </font>
    <font>
      <b/>
      <sz val="11"/>
      <name val="Arial"/>
      <family val="2"/>
    </font>
    <font>
      <sz val="11"/>
      <name val="Arial"/>
      <family val="2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b/>
      <sz val="6"/>
      <color rgb="FF000000"/>
      <name val="Arial"/>
      <family val="2"/>
    </font>
    <font>
      <b/>
      <sz val="6"/>
      <name val="Arial"/>
      <family val="2"/>
    </font>
    <font>
      <b/>
      <sz val="9"/>
      <name val="Arial"/>
      <family val="2"/>
    </font>
    <font>
      <sz val="6"/>
      <color rgb="FF000000"/>
      <name val="Arial"/>
      <family val="2"/>
    </font>
    <font>
      <sz val="6"/>
      <color rgb="FFFF0000"/>
      <name val="Arial"/>
      <family val="2"/>
    </font>
    <font>
      <b/>
      <sz val="7"/>
      <name val="Arial"/>
      <family val="2"/>
    </font>
    <font>
      <b/>
      <sz val="7.5"/>
      <name val="Arial"/>
      <family val="2"/>
    </font>
    <font>
      <b/>
      <sz val="8"/>
      <color rgb="FF363636"/>
      <name val="Arial"/>
      <family val="2"/>
    </font>
    <font>
      <b/>
      <sz val="8"/>
      <name val="Arial"/>
      <family val="2"/>
    </font>
    <font>
      <sz val="8"/>
      <color rgb="FF363636"/>
      <name val="Arial MT"/>
      <family val="2"/>
    </font>
    <font>
      <sz val="8"/>
      <name val="Arial MT"/>
    </font>
    <font>
      <sz val="9"/>
      <color rgb="FF323232"/>
      <name val="Times New Roman"/>
      <family val="2"/>
      <charset val="204"/>
    </font>
    <font>
      <b/>
      <sz val="9"/>
      <color rgb="FF323232"/>
      <name val="Arial"/>
      <family val="2"/>
    </font>
    <font>
      <sz val="9"/>
      <color rgb="FF323232"/>
      <name val="Arial MT"/>
      <family val="2"/>
    </font>
    <font>
      <sz val="7"/>
      <color rgb="FF000000"/>
      <name val="Arial"/>
      <family val="2"/>
    </font>
    <font>
      <b/>
      <sz val="7"/>
      <color rgb="FF000000"/>
      <name val="Arial"/>
      <family val="2"/>
    </font>
    <font>
      <sz val="6"/>
      <name val="Arial"/>
      <family val="2"/>
    </font>
    <font>
      <sz val="7"/>
      <name val="Arial"/>
      <family val="2"/>
    </font>
    <font>
      <b/>
      <sz val="14"/>
      <color rgb="FF1F3864"/>
      <name val="Arial"/>
      <family val="1"/>
    </font>
    <font>
      <i/>
      <sz val="10"/>
      <color rgb="FF595959"/>
      <name val="Arial"/>
      <family val="1"/>
    </font>
    <font>
      <b/>
      <sz val="11"/>
      <color rgb="FFFFFFFF"/>
      <name val="Arial"/>
      <family val="1"/>
    </font>
    <font>
      <sz val="11"/>
      <color rgb="FF0000FF"/>
      <name val="Arial"/>
      <family val="1"/>
    </font>
    <font>
      <sz val="11"/>
      <color rgb="FF008000"/>
      <name val="Arial"/>
      <family val="1"/>
    </font>
    <font>
      <b/>
      <sz val="11"/>
      <name val="Arial"/>
      <family val="1"/>
    </font>
    <font>
      <i/>
      <sz val="11"/>
      <name val="Arial"/>
      <family val="1"/>
    </font>
    <font>
      <i/>
      <sz val="11"/>
      <color rgb="FF0000FF"/>
      <name val="Arial"/>
      <family val="1"/>
    </font>
    <font>
      <sz val="11"/>
      <color rgb="FF808080"/>
      <name val="Arial"/>
      <family val="1"/>
    </font>
    <font>
      <i/>
      <sz val="11"/>
      <color rgb="FF808080"/>
      <name val="Arial"/>
      <family val="1"/>
    </font>
    <font>
      <i/>
      <sz val="9"/>
      <name val="Arial"/>
      <family val="1"/>
    </font>
    <font>
      <sz val="10"/>
      <name val="Arial"/>
      <family val="1"/>
    </font>
    <font>
      <i/>
      <sz val="10"/>
      <color rgb="FF808080"/>
      <name val="Arial"/>
      <family val="1"/>
    </font>
    <font>
      <i/>
      <sz val="9"/>
      <color rgb="FF808080"/>
      <name val="Arial"/>
      <family val="1"/>
    </font>
    <font>
      <b/>
      <sz val="11"/>
      <color rgb="FF808080"/>
      <name val="Arial"/>
      <family val="1"/>
    </font>
    <font>
      <b/>
      <sz val="11"/>
      <color rgb="FF008000"/>
      <name val="Arial"/>
      <family val="1"/>
    </font>
    <font>
      <sz val="11"/>
      <name val="Calibri"/>
      <family val="2"/>
    </font>
    <font>
      <sz val="1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F6F7F8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33C00"/>
        <bgColor indexed="64"/>
      </patternFill>
    </fill>
    <fill>
      <patternFill patternType="solid">
        <fgColor rgb="FF2E5496"/>
        <bgColor indexed="64"/>
      </patternFill>
    </fill>
    <fill>
      <patternFill patternType="solid">
        <fgColor rgb="FFE2EFDA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303030"/>
      </top>
      <bottom/>
      <diagonal/>
    </border>
    <border>
      <left/>
      <right/>
      <top style="medium">
        <color rgb="FF30303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ECECEC"/>
      </top>
      <bottom style="thin">
        <color rgb="FFFFFFFF"/>
      </bottom>
      <diagonal/>
    </border>
    <border>
      <left/>
      <right/>
      <top style="thin">
        <color rgb="FFECECEC"/>
      </top>
      <bottom style="thin">
        <color rgb="FFFFFFFF"/>
      </bottom>
      <diagonal/>
    </border>
    <border>
      <left style="thin">
        <color rgb="FFFFFFFF"/>
      </left>
      <right/>
      <top style="thin">
        <color rgb="FFECECEC"/>
      </top>
      <bottom style="thin">
        <color rgb="FFFFFFFF"/>
      </bottom>
      <diagonal/>
    </border>
    <border>
      <left/>
      <right style="thin">
        <color rgb="FFECECEC"/>
      </right>
      <top style="thin">
        <color rgb="FFECECEC"/>
      </top>
      <bottom style="thin">
        <color rgb="FFECECEC"/>
      </bottom>
      <diagonal/>
    </border>
    <border>
      <left/>
      <right/>
      <top style="thin">
        <color rgb="FFECECEC"/>
      </top>
      <bottom style="thin">
        <color rgb="FFECECEC"/>
      </bottom>
      <diagonal/>
    </border>
    <border>
      <left style="thin">
        <color rgb="FFECECEC"/>
      </left>
      <right/>
      <top style="thin">
        <color rgb="FFECECEC"/>
      </top>
      <bottom style="thin">
        <color rgb="FFECECEC"/>
      </bottom>
      <diagonal/>
    </border>
    <border>
      <left/>
      <right style="thin">
        <color rgb="FFECECEC"/>
      </right>
      <top style="thin">
        <color rgb="FFD0D0D0"/>
      </top>
      <bottom style="thin">
        <color rgb="FFECECEC"/>
      </bottom>
      <diagonal/>
    </border>
    <border>
      <left/>
      <right/>
      <top style="thin">
        <color rgb="FFD0D0D0"/>
      </top>
      <bottom style="thin">
        <color rgb="FFECECEC"/>
      </bottom>
      <diagonal/>
    </border>
    <border>
      <left style="thin">
        <color rgb="FFECECEC"/>
      </left>
      <right/>
      <top style="thin">
        <color rgb="FFD0D0D0"/>
      </top>
      <bottom style="thin">
        <color rgb="FFECECEC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">
    <xf numFmtId="0" fontId="0" fillId="0" borderId="0"/>
    <xf numFmtId="0" fontId="14" fillId="0" borderId="0"/>
    <xf numFmtId="43" fontId="14" fillId="0" borderId="0" applyFont="0" applyFill="0" applyBorder="0" applyAlignment="0" applyProtection="0"/>
    <xf numFmtId="0" fontId="1" fillId="0" borderId="0"/>
  </cellStyleXfs>
  <cellXfs count="263">
    <xf numFmtId="0" fontId="0" fillId="0" borderId="0" xfId="0"/>
    <xf numFmtId="0" fontId="2" fillId="2" borderId="1" xfId="0" applyFont="1" applyFill="1" applyBorder="1" applyAlignment="1">
      <alignment horizontal="left"/>
    </xf>
    <xf numFmtId="0" fontId="6" fillId="0" borderId="0" xfId="0" applyFont="1"/>
    <xf numFmtId="0" fontId="7" fillId="0" borderId="0" xfId="0" applyFont="1"/>
    <xf numFmtId="164" fontId="8" fillId="0" borderId="0" xfId="0" applyNumberFormat="1" applyFont="1"/>
    <xf numFmtId="164" fontId="9" fillId="0" borderId="0" xfId="0" applyNumberFormat="1" applyFont="1"/>
    <xf numFmtId="164" fontId="10" fillId="0" borderId="2" xfId="0" applyNumberFormat="1" applyFont="1" applyBorder="1"/>
    <xf numFmtId="164" fontId="11" fillId="0" borderId="3" xfId="0" applyNumberFormat="1" applyFont="1" applyBorder="1"/>
    <xf numFmtId="0" fontId="4" fillId="4" borderId="0" xfId="0" applyFont="1" applyFill="1" applyAlignment="1">
      <alignment horizontal="left" vertical="top" wrapText="1"/>
    </xf>
    <xf numFmtId="0" fontId="5" fillId="5" borderId="0" xfId="0" applyFont="1" applyFill="1" applyAlignment="1">
      <alignment horizontal="left" vertical="top" wrapText="1"/>
    </xf>
    <xf numFmtId="0" fontId="3" fillId="3" borderId="0" xfId="0" applyFont="1" applyFill="1"/>
    <xf numFmtId="164" fontId="7" fillId="0" borderId="0" xfId="0" applyNumberFormat="1" applyFont="1"/>
    <xf numFmtId="165" fontId="7" fillId="0" borderId="0" xfId="0" applyNumberFormat="1" applyFont="1"/>
    <xf numFmtId="166" fontId="7" fillId="0" borderId="0" xfId="0" applyNumberFormat="1" applyFont="1"/>
    <xf numFmtId="164" fontId="6" fillId="0" borderId="0" xfId="0" applyNumberFormat="1" applyFont="1"/>
    <xf numFmtId="165" fontId="6" fillId="0" borderId="0" xfId="0" applyNumberFormat="1" applyFont="1"/>
    <xf numFmtId="166" fontId="6" fillId="0" borderId="0" xfId="0" applyNumberFormat="1" applyFont="1"/>
    <xf numFmtId="0" fontId="4" fillId="5" borderId="0" xfId="0" applyFont="1" applyFill="1" applyAlignment="1">
      <alignment horizontal="left" vertical="top" wrapText="1"/>
    </xf>
    <xf numFmtId="0" fontId="3" fillId="5" borderId="0" xfId="0" applyFont="1" applyFill="1"/>
    <xf numFmtId="0" fontId="15" fillId="0" borderId="0" xfId="1" applyFont="1" applyAlignment="1">
      <alignment horizontal="left" vertical="top"/>
    </xf>
    <xf numFmtId="0" fontId="15" fillId="0" borderId="4" xfId="1" applyFont="1" applyBorder="1" applyAlignment="1">
      <alignment horizontal="left" wrapText="1"/>
    </xf>
    <xf numFmtId="167" fontId="16" fillId="0" borderId="4" xfId="1" applyNumberFormat="1" applyFont="1" applyBorder="1" applyAlignment="1">
      <alignment horizontal="right" vertical="top" shrinkToFit="1"/>
    </xf>
    <xf numFmtId="167" fontId="16" fillId="0" borderId="4" xfId="1" applyNumberFormat="1" applyFont="1" applyBorder="1" applyAlignment="1">
      <alignment horizontal="center" vertical="top" shrinkToFit="1"/>
    </xf>
    <xf numFmtId="0" fontId="17" fillId="0" borderId="4" xfId="1" applyFont="1" applyBorder="1" applyAlignment="1">
      <alignment horizontal="left" vertical="top" wrapText="1"/>
    </xf>
    <xf numFmtId="0" fontId="15" fillId="0" borderId="4" xfId="1" applyFont="1" applyBorder="1" applyAlignment="1">
      <alignment horizontal="left" vertical="center" wrapText="1"/>
    </xf>
    <xf numFmtId="0" fontId="18" fillId="0" borderId="4" xfId="1" applyFont="1" applyBorder="1" applyAlignment="1">
      <alignment horizontal="left" vertical="top" wrapText="1"/>
    </xf>
    <xf numFmtId="167" fontId="19" fillId="0" borderId="4" xfId="1" applyNumberFormat="1" applyFont="1" applyBorder="1" applyAlignment="1">
      <alignment horizontal="right" vertical="top" shrinkToFit="1"/>
    </xf>
    <xf numFmtId="167" fontId="19" fillId="0" borderId="4" xfId="1" applyNumberFormat="1" applyFont="1" applyBorder="1" applyAlignment="1">
      <alignment horizontal="center" vertical="top" shrinkToFit="1"/>
    </xf>
    <xf numFmtId="167" fontId="16" fillId="0" borderId="4" xfId="1" applyNumberFormat="1" applyFont="1" applyBorder="1" applyAlignment="1">
      <alignment horizontal="left" vertical="top" indent="1" shrinkToFit="1"/>
    </xf>
    <xf numFmtId="167" fontId="19" fillId="0" borderId="4" xfId="1" applyNumberFormat="1" applyFont="1" applyBorder="1" applyAlignment="1">
      <alignment horizontal="left" vertical="top" indent="1" shrinkToFit="1"/>
    </xf>
    <xf numFmtId="168" fontId="19" fillId="0" borderId="4" xfId="1" applyNumberFormat="1" applyFont="1" applyBorder="1" applyAlignment="1">
      <alignment horizontal="right" vertical="top" shrinkToFit="1"/>
    </xf>
    <xf numFmtId="168" fontId="19" fillId="0" borderId="4" xfId="1" applyNumberFormat="1" applyFont="1" applyBorder="1" applyAlignment="1">
      <alignment horizontal="left" vertical="top" indent="2" shrinkToFit="1"/>
    </xf>
    <xf numFmtId="167" fontId="16" fillId="0" borderId="4" xfId="1" applyNumberFormat="1" applyFont="1" applyBorder="1" applyAlignment="1">
      <alignment horizontal="left" vertical="top" shrinkToFit="1"/>
    </xf>
    <xf numFmtId="0" fontId="17" fillId="0" borderId="4" xfId="1" applyFont="1" applyBorder="1" applyAlignment="1">
      <alignment horizontal="left" vertical="top" wrapText="1" indent="1"/>
    </xf>
    <xf numFmtId="0" fontId="17" fillId="0" borderId="4" xfId="1" applyFont="1" applyBorder="1" applyAlignment="1">
      <alignment horizontal="left" vertical="top" wrapText="1" indent="2"/>
    </xf>
    <xf numFmtId="168" fontId="16" fillId="0" borderId="4" xfId="1" applyNumberFormat="1" applyFont="1" applyBorder="1" applyAlignment="1">
      <alignment horizontal="right" vertical="top" shrinkToFit="1"/>
    </xf>
    <xf numFmtId="168" fontId="16" fillId="0" borderId="4" xfId="1" applyNumberFormat="1" applyFont="1" applyBorder="1" applyAlignment="1">
      <alignment horizontal="left" vertical="top" indent="2" shrinkToFit="1"/>
    </xf>
    <xf numFmtId="169" fontId="20" fillId="0" borderId="4" xfId="1" applyNumberFormat="1" applyFont="1" applyBorder="1" applyAlignment="1">
      <alignment horizontal="right" vertical="top" shrinkToFit="1"/>
    </xf>
    <xf numFmtId="170" fontId="20" fillId="0" borderId="4" xfId="1" applyNumberFormat="1" applyFont="1" applyBorder="1" applyAlignment="1">
      <alignment horizontal="right" vertical="top" shrinkToFit="1"/>
    </xf>
    <xf numFmtId="167" fontId="19" fillId="0" borderId="4" xfId="1" applyNumberFormat="1" applyFont="1" applyBorder="1" applyAlignment="1">
      <alignment horizontal="left" vertical="top" shrinkToFit="1"/>
    </xf>
    <xf numFmtId="0" fontId="21" fillId="0" borderId="4" xfId="1" applyFont="1" applyBorder="1" applyAlignment="1">
      <alignment horizontal="left" vertical="top" wrapText="1"/>
    </xf>
    <xf numFmtId="0" fontId="21" fillId="0" borderId="4" xfId="1" applyFont="1" applyBorder="1" applyAlignment="1">
      <alignment horizontal="right" vertical="top" wrapText="1"/>
    </xf>
    <xf numFmtId="0" fontId="21" fillId="0" borderId="4" xfId="1" applyFont="1" applyBorder="1" applyAlignment="1">
      <alignment horizontal="left" vertical="top" wrapText="1" indent="2"/>
    </xf>
    <xf numFmtId="0" fontId="22" fillId="0" borderId="5" xfId="1" applyFont="1" applyBorder="1" applyAlignment="1">
      <alignment horizontal="center" vertical="top" wrapText="1"/>
    </xf>
    <xf numFmtId="0" fontId="22" fillId="0" borderId="6" xfId="1" applyFont="1" applyBorder="1" applyAlignment="1">
      <alignment horizontal="center" vertical="top" wrapText="1"/>
    </xf>
    <xf numFmtId="0" fontId="22" fillId="0" borderId="7" xfId="1" applyFont="1" applyBorder="1" applyAlignment="1">
      <alignment horizontal="center" vertical="top" wrapText="1"/>
    </xf>
    <xf numFmtId="0" fontId="12" fillId="0" borderId="5" xfId="1" applyFont="1" applyBorder="1" applyAlignment="1">
      <alignment horizontal="center" vertical="top" wrapText="1"/>
    </xf>
    <xf numFmtId="0" fontId="12" fillId="0" borderId="6" xfId="1" applyFont="1" applyBorder="1" applyAlignment="1">
      <alignment horizontal="center" vertical="top" wrapText="1"/>
    </xf>
    <xf numFmtId="0" fontId="12" fillId="0" borderId="7" xfId="1" applyFont="1" applyBorder="1" applyAlignment="1">
      <alignment horizontal="center" vertical="top" wrapText="1"/>
    </xf>
    <xf numFmtId="0" fontId="14" fillId="0" borderId="0" xfId="1" applyAlignment="1">
      <alignment horizontal="left" vertical="top"/>
    </xf>
    <xf numFmtId="0" fontId="14" fillId="6" borderId="8" xfId="1" applyFill="1" applyBorder="1" applyAlignment="1">
      <alignment horizontal="left" vertical="top" wrapText="1"/>
    </xf>
    <xf numFmtId="0" fontId="14" fillId="6" borderId="9" xfId="1" applyFill="1" applyBorder="1" applyAlignment="1">
      <alignment horizontal="left" vertical="top" wrapText="1"/>
    </xf>
    <xf numFmtId="0" fontId="14" fillId="6" borderId="9" xfId="1" applyFill="1" applyBorder="1" applyAlignment="1">
      <alignment horizontal="left" vertical="top" wrapText="1"/>
    </xf>
    <xf numFmtId="4" fontId="23" fillId="6" borderId="9" xfId="1" applyNumberFormat="1" applyFont="1" applyFill="1" applyBorder="1" applyAlignment="1">
      <alignment horizontal="right" vertical="top" shrinkToFit="1"/>
    </xf>
    <xf numFmtId="2" fontId="23" fillId="6" borderId="9" xfId="1" applyNumberFormat="1" applyFont="1" applyFill="1" applyBorder="1" applyAlignment="1">
      <alignment horizontal="right" vertical="top" shrinkToFit="1"/>
    </xf>
    <xf numFmtId="3" fontId="23" fillId="6" borderId="9" xfId="1" applyNumberFormat="1" applyFont="1" applyFill="1" applyBorder="1" applyAlignment="1">
      <alignment horizontal="right" vertical="top" shrinkToFit="1"/>
    </xf>
    <xf numFmtId="0" fontId="24" fillId="6" borderId="9" xfId="1" applyFont="1" applyFill="1" applyBorder="1" applyAlignment="1">
      <alignment horizontal="left" vertical="top" wrapText="1"/>
    </xf>
    <xf numFmtId="0" fontId="14" fillId="6" borderId="10" xfId="1" applyFill="1" applyBorder="1" applyAlignment="1">
      <alignment horizontal="left" vertical="top" wrapText="1"/>
    </xf>
    <xf numFmtId="0" fontId="14" fillId="0" borderId="11" xfId="1" applyBorder="1" applyAlignment="1">
      <alignment horizontal="left" wrapText="1"/>
    </xf>
    <xf numFmtId="0" fontId="14" fillId="0" borderId="12" xfId="1" applyBorder="1" applyAlignment="1">
      <alignment horizontal="left" wrapText="1"/>
    </xf>
    <xf numFmtId="0" fontId="14" fillId="0" borderId="13" xfId="1" applyBorder="1" applyAlignment="1">
      <alignment horizontal="left" wrapText="1"/>
    </xf>
    <xf numFmtId="171" fontId="25" fillId="6" borderId="14" xfId="1" applyNumberFormat="1" applyFont="1" applyFill="1" applyBorder="1" applyAlignment="1">
      <alignment horizontal="left" vertical="top" shrinkToFit="1"/>
    </xf>
    <xf numFmtId="171" fontId="25" fillId="6" borderId="15" xfId="1" applyNumberFormat="1" applyFont="1" applyFill="1" applyBorder="1" applyAlignment="1">
      <alignment horizontal="left" vertical="top" shrinkToFit="1"/>
    </xf>
    <xf numFmtId="171" fontId="25" fillId="6" borderId="15" xfId="1" applyNumberFormat="1" applyFont="1" applyFill="1" applyBorder="1" applyAlignment="1">
      <alignment horizontal="center" vertical="top" shrinkToFit="1"/>
    </xf>
    <xf numFmtId="2" fontId="25" fillId="6" borderId="15" xfId="1" applyNumberFormat="1" applyFont="1" applyFill="1" applyBorder="1" applyAlignment="1">
      <alignment horizontal="right" vertical="top" shrinkToFit="1"/>
    </xf>
    <xf numFmtId="0" fontId="14" fillId="6" borderId="15" xfId="1" applyFill="1" applyBorder="1" applyAlignment="1">
      <alignment horizontal="left" vertical="top" wrapText="1"/>
    </xf>
    <xf numFmtId="4" fontId="25" fillId="6" borderId="15" xfId="1" applyNumberFormat="1" applyFont="1" applyFill="1" applyBorder="1" applyAlignment="1">
      <alignment horizontal="right" vertical="top" shrinkToFit="1"/>
    </xf>
    <xf numFmtId="1" fontId="25" fillId="6" borderId="15" xfId="1" applyNumberFormat="1" applyFont="1" applyFill="1" applyBorder="1" applyAlignment="1">
      <alignment horizontal="right" vertical="top" shrinkToFit="1"/>
    </xf>
    <xf numFmtId="0" fontId="26" fillId="6" borderId="15" xfId="1" applyFont="1" applyFill="1" applyBorder="1" applyAlignment="1">
      <alignment horizontal="left" vertical="top" wrapText="1"/>
    </xf>
    <xf numFmtId="0" fontId="26" fillId="6" borderId="15" xfId="1" applyFont="1" applyFill="1" applyBorder="1" applyAlignment="1">
      <alignment horizontal="left" vertical="top" wrapText="1"/>
    </xf>
    <xf numFmtId="0" fontId="26" fillId="6" borderId="16" xfId="1" applyFont="1" applyFill="1" applyBorder="1" applyAlignment="1">
      <alignment horizontal="left" vertical="top" wrapText="1"/>
    </xf>
    <xf numFmtId="171" fontId="25" fillId="0" borderId="14" xfId="1" applyNumberFormat="1" applyFont="1" applyBorder="1" applyAlignment="1">
      <alignment horizontal="left" vertical="top" shrinkToFit="1"/>
    </xf>
    <xf numFmtId="171" fontId="25" fillId="0" borderId="15" xfId="1" applyNumberFormat="1" applyFont="1" applyBorder="1" applyAlignment="1">
      <alignment horizontal="left" vertical="top" shrinkToFit="1"/>
    </xf>
    <xf numFmtId="171" fontId="25" fillId="0" borderId="15" xfId="1" applyNumberFormat="1" applyFont="1" applyBorder="1" applyAlignment="1">
      <alignment horizontal="center" vertical="top" shrinkToFit="1"/>
    </xf>
    <xf numFmtId="2" fontId="25" fillId="0" borderId="15" xfId="1" applyNumberFormat="1" applyFont="1" applyBorder="1" applyAlignment="1">
      <alignment horizontal="right" vertical="top" shrinkToFit="1"/>
    </xf>
    <xf numFmtId="0" fontId="14" fillId="0" borderId="15" xfId="1" applyBorder="1" applyAlignment="1">
      <alignment horizontal="left" vertical="center" wrapText="1"/>
    </xf>
    <xf numFmtId="4" fontId="25" fillId="0" borderId="15" xfId="1" applyNumberFormat="1" applyFont="1" applyBorder="1" applyAlignment="1">
      <alignment horizontal="right" vertical="top" shrinkToFit="1"/>
    </xf>
    <xf numFmtId="1" fontId="25" fillId="0" borderId="15" xfId="1" applyNumberFormat="1" applyFont="1" applyBorder="1" applyAlignment="1">
      <alignment horizontal="right" vertical="top" shrinkToFit="1"/>
    </xf>
    <xf numFmtId="0" fontId="26" fillId="0" borderId="15" xfId="1" applyFont="1" applyBorder="1" applyAlignment="1">
      <alignment horizontal="left" vertical="top" wrapText="1"/>
    </xf>
    <xf numFmtId="0" fontId="26" fillId="0" borderId="15" xfId="1" applyFont="1" applyBorder="1" applyAlignment="1">
      <alignment horizontal="left" vertical="top" wrapText="1"/>
    </xf>
    <xf numFmtId="0" fontId="26" fillId="0" borderId="16" xfId="1" applyFont="1" applyBorder="1" applyAlignment="1">
      <alignment horizontal="left" vertical="top" wrapText="1"/>
    </xf>
    <xf numFmtId="0" fontId="14" fillId="6" borderId="15" xfId="1" applyFill="1" applyBorder="1" applyAlignment="1">
      <alignment horizontal="left" vertical="center" wrapText="1"/>
    </xf>
    <xf numFmtId="0" fontId="14" fillId="6" borderId="14" xfId="1" applyFill="1" applyBorder="1" applyAlignment="1">
      <alignment horizontal="left" vertical="center" wrapText="1"/>
    </xf>
    <xf numFmtId="0" fontId="14" fillId="6" borderId="15" xfId="1" applyFill="1" applyBorder="1" applyAlignment="1">
      <alignment horizontal="left" vertical="center" wrapText="1"/>
    </xf>
    <xf numFmtId="0" fontId="14" fillId="0" borderId="14" xfId="1" applyBorder="1" applyAlignment="1">
      <alignment horizontal="left" vertical="center" wrapText="1"/>
    </xf>
    <xf numFmtId="0" fontId="14" fillId="0" borderId="15" xfId="1" applyBorder="1" applyAlignment="1">
      <alignment horizontal="left" vertical="center" wrapText="1"/>
    </xf>
    <xf numFmtId="0" fontId="14" fillId="0" borderId="14" xfId="1" applyBorder="1" applyAlignment="1">
      <alignment horizontal="left" wrapText="1"/>
    </xf>
    <xf numFmtId="0" fontId="14" fillId="0" borderId="15" xfId="1" applyBorder="1" applyAlignment="1">
      <alignment horizontal="left" wrapText="1"/>
    </xf>
    <xf numFmtId="0" fontId="14" fillId="0" borderId="15" xfId="1" applyBorder="1" applyAlignment="1">
      <alignment horizontal="left" wrapText="1"/>
    </xf>
    <xf numFmtId="0" fontId="14" fillId="6" borderId="15" xfId="1" applyFill="1" applyBorder="1" applyAlignment="1">
      <alignment horizontal="left" wrapText="1"/>
    </xf>
    <xf numFmtId="0" fontId="14" fillId="0" borderId="14" xfId="1" applyBorder="1" applyAlignment="1">
      <alignment horizontal="left" vertical="center" wrapText="1"/>
    </xf>
    <xf numFmtId="0" fontId="14" fillId="6" borderId="14" xfId="1" applyFill="1" applyBorder="1" applyAlignment="1">
      <alignment horizontal="left" vertical="center" wrapText="1"/>
    </xf>
    <xf numFmtId="0" fontId="14" fillId="6" borderId="14" xfId="1" applyFill="1" applyBorder="1" applyAlignment="1">
      <alignment horizontal="left" vertical="top" wrapText="1"/>
    </xf>
    <xf numFmtId="171" fontId="25" fillId="0" borderId="14" xfId="1" applyNumberFormat="1" applyFont="1" applyBorder="1" applyAlignment="1">
      <alignment horizontal="center" vertical="top" shrinkToFit="1"/>
    </xf>
    <xf numFmtId="0" fontId="14" fillId="0" borderId="0" xfId="1" applyAlignment="1">
      <alignment horizontal="left" vertical="center" wrapText="1"/>
    </xf>
    <xf numFmtId="0" fontId="14" fillId="0" borderId="0" xfId="1" applyAlignment="1">
      <alignment horizontal="left" vertical="top" wrapText="1"/>
    </xf>
    <xf numFmtId="0" fontId="14" fillId="0" borderId="15" xfId="1" applyBorder="1" applyAlignment="1">
      <alignment horizontal="left" vertical="top" wrapText="1"/>
    </xf>
    <xf numFmtId="0" fontId="14" fillId="0" borderId="17" xfId="1" applyBorder="1" applyAlignment="1">
      <alignment horizontal="left" vertical="center" wrapText="1"/>
    </xf>
    <xf numFmtId="0" fontId="14" fillId="0" borderId="18" xfId="1" applyBorder="1" applyAlignment="1">
      <alignment horizontal="left" vertical="center" wrapText="1"/>
    </xf>
    <xf numFmtId="0" fontId="14" fillId="0" borderId="18" xfId="1" applyBorder="1" applyAlignment="1">
      <alignment horizontal="left" vertical="center" wrapText="1"/>
    </xf>
    <xf numFmtId="2" fontId="25" fillId="0" borderId="18" xfId="1" applyNumberFormat="1" applyFont="1" applyBorder="1" applyAlignment="1">
      <alignment horizontal="right" vertical="top" shrinkToFit="1"/>
    </xf>
    <xf numFmtId="4" fontId="25" fillId="0" borderId="18" xfId="1" applyNumberFormat="1" applyFont="1" applyBorder="1" applyAlignment="1">
      <alignment horizontal="right" vertical="top" shrinkToFit="1"/>
    </xf>
    <xf numFmtId="1" fontId="25" fillId="0" borderId="18" xfId="1" applyNumberFormat="1" applyFont="1" applyBorder="1" applyAlignment="1">
      <alignment horizontal="right" vertical="top" shrinkToFit="1"/>
    </xf>
    <xf numFmtId="0" fontId="26" fillId="0" borderId="18" xfId="1" applyFont="1" applyBorder="1" applyAlignment="1">
      <alignment horizontal="left" vertical="top" wrapText="1"/>
    </xf>
    <xf numFmtId="0" fontId="26" fillId="0" borderId="18" xfId="1" applyFont="1" applyBorder="1" applyAlignment="1">
      <alignment horizontal="left" vertical="top" wrapText="1"/>
    </xf>
    <xf numFmtId="0" fontId="26" fillId="0" borderId="19" xfId="1" applyFont="1" applyBorder="1" applyAlignment="1">
      <alignment horizontal="left" vertical="top" wrapText="1"/>
    </xf>
    <xf numFmtId="0" fontId="24" fillId="0" borderId="20" xfId="1" applyFont="1" applyBorder="1" applyAlignment="1">
      <alignment horizontal="left" vertical="center" wrapText="1"/>
    </xf>
    <xf numFmtId="0" fontId="24" fillId="0" borderId="20" xfId="1" applyFont="1" applyBorder="1" applyAlignment="1">
      <alignment horizontal="left" vertical="center" wrapText="1" indent="1"/>
    </xf>
    <xf numFmtId="0" fontId="24" fillId="0" borderId="20" xfId="1" applyFont="1" applyBorder="1" applyAlignment="1">
      <alignment horizontal="center" vertical="center" wrapText="1"/>
    </xf>
    <xf numFmtId="0" fontId="24" fillId="0" borderId="20" xfId="1" applyFont="1" applyBorder="1" applyAlignment="1">
      <alignment horizontal="left" vertical="top" wrapText="1" indent="1"/>
    </xf>
    <xf numFmtId="0" fontId="24" fillId="0" borderId="20" xfId="1" applyFont="1" applyBorder="1" applyAlignment="1">
      <alignment horizontal="right" vertical="center" wrapText="1"/>
    </xf>
    <xf numFmtId="0" fontId="24" fillId="0" borderId="20" xfId="1" applyFont="1" applyBorder="1" applyAlignment="1">
      <alignment horizontal="left" vertical="top" wrapText="1" indent="2"/>
    </xf>
    <xf numFmtId="0" fontId="24" fillId="0" borderId="20" xfId="1" applyFont="1" applyBorder="1" applyAlignment="1">
      <alignment horizontal="left" vertical="top" wrapText="1"/>
    </xf>
    <xf numFmtId="0" fontId="14" fillId="0" borderId="0" xfId="1" applyAlignment="1">
      <alignment horizontal="left" vertical="center" wrapText="1"/>
    </xf>
    <xf numFmtId="0" fontId="27" fillId="0" borderId="0" xfId="1" applyFont="1" applyAlignment="1">
      <alignment horizontal="left" vertical="center" wrapText="1"/>
    </xf>
    <xf numFmtId="0" fontId="30" fillId="0" borderId="0" xfId="1" applyFont="1" applyAlignment="1">
      <alignment horizontal="left" vertical="top"/>
    </xf>
    <xf numFmtId="172" fontId="30" fillId="0" borderId="0" xfId="2" applyNumberFormat="1" applyFont="1" applyBorder="1" applyAlignment="1">
      <alignment horizontal="left" vertical="top"/>
    </xf>
    <xf numFmtId="0" fontId="31" fillId="0" borderId="0" xfId="1" applyFont="1" applyAlignment="1">
      <alignment horizontal="left" vertical="top"/>
    </xf>
    <xf numFmtId="43" fontId="16" fillId="7" borderId="21" xfId="2" applyFont="1" applyFill="1" applyBorder="1" applyAlignment="1">
      <alignment horizontal="left" vertical="top"/>
    </xf>
    <xf numFmtId="0" fontId="16" fillId="7" borderId="21" xfId="1" applyFont="1" applyFill="1" applyBorder="1" applyAlignment="1">
      <alignment horizontal="left" vertical="top"/>
    </xf>
    <xf numFmtId="43" fontId="19" fillId="0" borderId="0" xfId="2" applyFont="1" applyBorder="1" applyAlignment="1">
      <alignment horizontal="left" vertical="top"/>
    </xf>
    <xf numFmtId="0" fontId="16" fillId="0" borderId="0" xfId="1" applyFont="1" applyAlignment="1">
      <alignment horizontal="left" vertical="top"/>
    </xf>
    <xf numFmtId="43" fontId="16" fillId="0" borderId="21" xfId="2" applyFont="1" applyBorder="1" applyAlignment="1">
      <alignment horizontal="left" vertical="top"/>
    </xf>
    <xf numFmtId="0" fontId="16" fillId="0" borderId="21" xfId="1" applyFont="1" applyBorder="1" applyAlignment="1">
      <alignment horizontal="left" vertical="top"/>
    </xf>
    <xf numFmtId="0" fontId="19" fillId="0" borderId="0" xfId="1" applyFont="1" applyAlignment="1">
      <alignment horizontal="left" vertical="top"/>
    </xf>
    <xf numFmtId="43" fontId="19" fillId="8" borderId="0" xfId="2" applyFont="1" applyFill="1" applyBorder="1" applyAlignment="1">
      <alignment horizontal="left" vertical="top"/>
    </xf>
    <xf numFmtId="0" fontId="16" fillId="8" borderId="0" xfId="1" applyFont="1" applyFill="1" applyAlignment="1">
      <alignment horizontal="left" vertical="top"/>
    </xf>
    <xf numFmtId="43" fontId="16" fillId="0" borderId="0" xfId="2" applyFont="1" applyBorder="1" applyAlignment="1">
      <alignment horizontal="left" vertical="top"/>
    </xf>
    <xf numFmtId="172" fontId="30" fillId="0" borderId="0" xfId="1" applyNumberFormat="1" applyFont="1" applyAlignment="1">
      <alignment horizontal="left" vertical="top"/>
    </xf>
    <xf numFmtId="43" fontId="16" fillId="0" borderId="21" xfId="2" applyFont="1" applyBorder="1" applyAlignment="1">
      <alignment horizontal="right" vertical="top" shrinkToFit="1"/>
    </xf>
    <xf numFmtId="43" fontId="16" fillId="0" borderId="21" xfId="2" applyFont="1" applyBorder="1" applyAlignment="1">
      <alignment horizontal="right" vertical="top" indent="1" shrinkToFit="1"/>
    </xf>
    <xf numFmtId="43" fontId="16" fillId="0" borderId="21" xfId="2" applyFont="1" applyBorder="1" applyAlignment="1">
      <alignment horizontal="center" vertical="top" shrinkToFit="1"/>
    </xf>
    <xf numFmtId="0" fontId="17" fillId="0" borderId="21" xfId="1" applyFont="1" applyBorder="1" applyAlignment="1">
      <alignment horizontal="left" vertical="top" wrapText="1"/>
    </xf>
    <xf numFmtId="43" fontId="19" fillId="0" borderId="0" xfId="2" applyFont="1" applyBorder="1" applyAlignment="1">
      <alignment horizontal="right" vertical="top" shrinkToFit="1"/>
    </xf>
    <xf numFmtId="43" fontId="19" fillId="0" borderId="0" xfId="2" applyFont="1" applyBorder="1" applyAlignment="1">
      <alignment horizontal="right" vertical="top" indent="1" shrinkToFit="1"/>
    </xf>
    <xf numFmtId="43" fontId="19" fillId="0" borderId="0" xfId="2" applyFont="1" applyBorder="1" applyAlignment="1">
      <alignment horizontal="center" vertical="top" shrinkToFit="1"/>
    </xf>
    <xf numFmtId="0" fontId="32" fillId="0" borderId="0" xfId="1" applyFont="1" applyAlignment="1">
      <alignment horizontal="left" vertical="top" wrapText="1"/>
    </xf>
    <xf numFmtId="172" fontId="31" fillId="0" borderId="0" xfId="1" applyNumberFormat="1" applyFont="1" applyAlignment="1">
      <alignment horizontal="left" vertical="top"/>
    </xf>
    <xf numFmtId="43" fontId="19" fillId="8" borderId="0" xfId="2" applyFont="1" applyFill="1" applyBorder="1" applyAlignment="1">
      <alignment horizontal="left" vertical="center" wrapText="1"/>
    </xf>
    <xf numFmtId="0" fontId="17" fillId="8" borderId="0" xfId="1" applyFont="1" applyFill="1" applyAlignment="1">
      <alignment horizontal="left" vertical="center" wrapText="1"/>
    </xf>
    <xf numFmtId="0" fontId="17" fillId="8" borderId="0" xfId="1" applyFont="1" applyFill="1" applyAlignment="1">
      <alignment horizontal="left" vertical="top" wrapText="1"/>
    </xf>
    <xf numFmtId="43" fontId="19" fillId="8" borderId="0" xfId="2" applyFont="1" applyFill="1" applyBorder="1" applyAlignment="1">
      <alignment wrapText="1"/>
    </xf>
    <xf numFmtId="43" fontId="19" fillId="8" borderId="0" xfId="2" applyFont="1" applyFill="1" applyBorder="1" applyAlignment="1">
      <alignment horizontal="left" wrapText="1"/>
    </xf>
    <xf numFmtId="0" fontId="17" fillId="8" borderId="0" xfId="1" applyFont="1" applyFill="1" applyAlignment="1">
      <alignment horizontal="left" wrapText="1"/>
    </xf>
    <xf numFmtId="43" fontId="32" fillId="0" borderId="0" xfId="2" applyFont="1" applyBorder="1" applyAlignment="1">
      <alignment vertical="top" wrapText="1"/>
    </xf>
    <xf numFmtId="43" fontId="17" fillId="0" borderId="21" xfId="2" applyFont="1" applyBorder="1" applyAlignment="1">
      <alignment vertical="top" wrapText="1"/>
    </xf>
    <xf numFmtId="43" fontId="17" fillId="8" borderId="0" xfId="2" applyFont="1" applyFill="1" applyBorder="1" applyAlignment="1">
      <alignment vertical="center" wrapText="1"/>
    </xf>
    <xf numFmtId="43" fontId="19" fillId="0" borderId="0" xfId="2" applyFont="1" applyBorder="1" applyAlignment="1">
      <alignment horizontal="right" vertical="center" shrinkToFit="1"/>
    </xf>
    <xf numFmtId="43" fontId="19" fillId="0" borderId="0" xfId="2" applyFont="1" applyBorder="1" applyAlignment="1">
      <alignment horizontal="right" vertical="center" indent="1" shrinkToFit="1"/>
    </xf>
    <xf numFmtId="43" fontId="19" fillId="0" borderId="0" xfId="2" applyFont="1" applyBorder="1" applyAlignment="1">
      <alignment horizontal="center" vertical="center" shrinkToFit="1"/>
    </xf>
    <xf numFmtId="0" fontId="32" fillId="0" borderId="0" xfId="1" applyFont="1" applyAlignment="1">
      <alignment horizontal="left" vertical="center" wrapText="1"/>
    </xf>
    <xf numFmtId="43" fontId="16" fillId="0" borderId="0" xfId="2" applyFont="1" applyBorder="1" applyAlignment="1">
      <alignment horizontal="right" vertical="top" shrinkToFit="1"/>
    </xf>
    <xf numFmtId="43" fontId="16" fillId="0" borderId="0" xfId="2" applyFont="1" applyBorder="1" applyAlignment="1">
      <alignment horizontal="right" vertical="top" indent="1" shrinkToFit="1"/>
    </xf>
    <xf numFmtId="43" fontId="16" fillId="0" borderId="0" xfId="2" applyFont="1" applyBorder="1" applyAlignment="1">
      <alignment horizontal="center" vertical="top" shrinkToFit="1"/>
    </xf>
    <xf numFmtId="0" fontId="17" fillId="0" borderId="0" xfId="1" applyFont="1" applyAlignment="1">
      <alignment horizontal="left" vertical="top" wrapText="1"/>
    </xf>
    <xf numFmtId="43" fontId="19" fillId="0" borderId="0" xfId="2" applyFont="1" applyBorder="1" applyAlignment="1">
      <alignment vertical="top" shrinkToFit="1"/>
    </xf>
    <xf numFmtId="2" fontId="19" fillId="0" borderId="0" xfId="1" applyNumberFormat="1" applyFont="1" applyAlignment="1">
      <alignment horizontal="left" vertical="top" shrinkToFit="1"/>
    </xf>
    <xf numFmtId="43" fontId="16" fillId="0" borderId="0" xfId="2" applyFont="1" applyBorder="1" applyAlignment="1">
      <alignment horizontal="right" shrinkToFit="1"/>
    </xf>
    <xf numFmtId="43" fontId="16" fillId="0" borderId="0" xfId="2" applyFont="1" applyBorder="1" applyAlignment="1">
      <alignment horizontal="right" indent="1" shrinkToFit="1"/>
    </xf>
    <xf numFmtId="43" fontId="16" fillId="0" borderId="0" xfId="2" applyFont="1" applyBorder="1" applyAlignment="1">
      <alignment horizontal="center" shrinkToFit="1"/>
    </xf>
    <xf numFmtId="0" fontId="17" fillId="0" borderId="0" xfId="1" applyFont="1" applyAlignment="1">
      <alignment horizontal="left" wrapText="1"/>
    </xf>
    <xf numFmtId="172" fontId="19" fillId="0" borderId="0" xfId="2" applyNumberFormat="1" applyFont="1" applyBorder="1" applyAlignment="1">
      <alignment horizontal="right" shrinkToFit="1"/>
    </xf>
    <xf numFmtId="172" fontId="19" fillId="0" borderId="0" xfId="2" applyNumberFormat="1" applyFont="1" applyBorder="1" applyAlignment="1">
      <alignment horizontal="right" indent="1" shrinkToFit="1"/>
    </xf>
    <xf numFmtId="172" fontId="19" fillId="0" borderId="0" xfId="2" applyNumberFormat="1" applyFont="1" applyBorder="1" applyAlignment="1">
      <alignment horizontal="center" shrinkToFit="1"/>
    </xf>
    <xf numFmtId="0" fontId="32" fillId="0" borderId="0" xfId="1" applyFont="1" applyAlignment="1">
      <alignment horizontal="left" wrapText="1"/>
    </xf>
    <xf numFmtId="172" fontId="17" fillId="0" borderId="21" xfId="2" applyNumberFormat="1" applyFont="1" applyFill="1" applyBorder="1" applyAlignment="1">
      <alignment horizontal="right" vertical="top" wrapText="1"/>
    </xf>
    <xf numFmtId="172" fontId="17" fillId="0" borderId="21" xfId="2" applyNumberFormat="1" applyFont="1" applyFill="1" applyBorder="1" applyAlignment="1">
      <alignment horizontal="right" vertical="top" wrapText="1" indent="1"/>
    </xf>
    <xf numFmtId="172" fontId="17" fillId="0" borderId="21" xfId="2" applyNumberFormat="1" applyFont="1" applyFill="1" applyBorder="1" applyAlignment="1">
      <alignment horizontal="center" vertical="top" wrapText="1"/>
    </xf>
    <xf numFmtId="172" fontId="30" fillId="0" borderId="0" xfId="2" applyNumberFormat="1" applyFont="1" applyBorder="1" applyAlignment="1">
      <alignment vertical="top" wrapText="1"/>
    </xf>
    <xf numFmtId="0" fontId="33" fillId="0" borderId="0" xfId="1" applyFont="1" applyAlignment="1">
      <alignment horizontal="left" vertical="top" wrapText="1"/>
    </xf>
    <xf numFmtId="0" fontId="21" fillId="0" borderId="0" xfId="1" applyFont="1" applyAlignment="1">
      <alignment horizontal="left" vertical="top"/>
    </xf>
    <xf numFmtId="0" fontId="1" fillId="0" borderId="0" xfId="3"/>
    <xf numFmtId="4" fontId="1" fillId="0" borderId="0" xfId="3" applyNumberFormat="1"/>
    <xf numFmtId="14" fontId="1" fillId="0" borderId="0" xfId="3" applyNumberFormat="1"/>
    <xf numFmtId="0" fontId="34" fillId="0" borderId="0" xfId="0" applyFont="1"/>
    <xf numFmtId="0" fontId="35" fillId="0" borderId="0" xfId="0" applyFont="1"/>
    <xf numFmtId="0" fontId="36" fillId="9" borderId="0" xfId="0" applyFont="1" applyFill="1"/>
    <xf numFmtId="0" fontId="0" fillId="9" borderId="0" xfId="0" applyFill="1"/>
    <xf numFmtId="0" fontId="37" fillId="0" borderId="0" xfId="0" applyFont="1"/>
    <xf numFmtId="1" fontId="37" fillId="0" borderId="0" xfId="0" applyNumberFormat="1" applyFont="1"/>
    <xf numFmtId="3" fontId="38" fillId="0" borderId="0" xfId="0" applyNumberFormat="1" applyFont="1"/>
    <xf numFmtId="173" fontId="37" fillId="0" borderId="0" xfId="0" applyNumberFormat="1" applyFont="1"/>
    <xf numFmtId="173" fontId="0" fillId="0" borderId="0" xfId="0" applyNumberFormat="1"/>
    <xf numFmtId="174" fontId="37" fillId="0" borderId="0" xfId="0" applyNumberFormat="1" applyFont="1"/>
    <xf numFmtId="10" fontId="37" fillId="0" borderId="0" xfId="0" applyNumberFormat="1" applyFont="1"/>
    <xf numFmtId="173" fontId="39" fillId="0" borderId="0" xfId="0" applyNumberFormat="1" applyFont="1"/>
    <xf numFmtId="10" fontId="39" fillId="0" borderId="0" xfId="0" applyNumberFormat="1" applyFont="1"/>
    <xf numFmtId="0" fontId="36" fillId="9" borderId="0" xfId="0" applyFont="1" applyFill="1" applyAlignment="1">
      <alignment horizontal="right"/>
    </xf>
    <xf numFmtId="176" fontId="38" fillId="0" borderId="0" xfId="0" applyNumberFormat="1" applyFont="1"/>
    <xf numFmtId="0" fontId="39" fillId="0" borderId="0" xfId="0" applyFont="1"/>
    <xf numFmtId="176" fontId="0" fillId="0" borderId="0" xfId="0" applyNumberFormat="1"/>
    <xf numFmtId="176" fontId="39" fillId="0" borderId="0" xfId="0" applyNumberFormat="1" applyFont="1"/>
    <xf numFmtId="0" fontId="40" fillId="0" borderId="0" xfId="0" applyFont="1"/>
    <xf numFmtId="176" fontId="40" fillId="0" borderId="0" xfId="0" applyNumberFormat="1" applyFont="1"/>
    <xf numFmtId="173" fontId="40" fillId="0" borderId="0" xfId="0" applyNumberFormat="1" applyFont="1"/>
    <xf numFmtId="0" fontId="39" fillId="10" borderId="0" xfId="0" applyFont="1" applyFill="1"/>
    <xf numFmtId="176" fontId="39" fillId="10" borderId="0" xfId="0" applyNumberFormat="1" applyFont="1" applyFill="1"/>
    <xf numFmtId="0" fontId="39" fillId="0" borderId="0" xfId="0" applyFont="1" applyAlignment="1">
      <alignment horizontal="right"/>
    </xf>
    <xf numFmtId="9" fontId="40" fillId="0" borderId="0" xfId="0" applyNumberFormat="1" applyFont="1"/>
    <xf numFmtId="9" fontId="41" fillId="0" borderId="0" xfId="0" applyNumberFormat="1" applyFont="1"/>
    <xf numFmtId="173" fontId="39" fillId="10" borderId="0" xfId="0" applyNumberFormat="1" applyFont="1" applyFill="1"/>
    <xf numFmtId="174" fontId="0" fillId="0" borderId="0" xfId="0" applyNumberFormat="1"/>
    <xf numFmtId="0" fontId="39" fillId="11" borderId="0" xfId="0" applyFont="1" applyFill="1"/>
    <xf numFmtId="176" fontId="39" fillId="11" borderId="0" xfId="0" applyNumberFormat="1" applyFont="1" applyFill="1"/>
    <xf numFmtId="0" fontId="43" fillId="0" borderId="0" xfId="0" applyFont="1"/>
    <xf numFmtId="176" fontId="43" fillId="0" borderId="0" xfId="0" applyNumberFormat="1" applyFont="1"/>
    <xf numFmtId="173" fontId="43" fillId="0" borderId="0" xfId="0" applyNumberFormat="1" applyFont="1"/>
    <xf numFmtId="0" fontId="36" fillId="12" borderId="0" xfId="0" applyFont="1" applyFill="1"/>
    <xf numFmtId="0" fontId="36" fillId="12" borderId="0" xfId="0" applyFont="1" applyFill="1" applyAlignment="1">
      <alignment horizontal="right"/>
    </xf>
    <xf numFmtId="174" fontId="39" fillId="0" borderId="0" xfId="0" applyNumberFormat="1" applyFont="1"/>
    <xf numFmtId="174" fontId="42" fillId="0" borderId="0" xfId="0" applyNumberFormat="1" applyFont="1"/>
    <xf numFmtId="178" fontId="39" fillId="0" borderId="0" xfId="0" applyNumberFormat="1" applyFont="1"/>
    <xf numFmtId="178" fontId="42" fillId="0" borderId="0" xfId="0" applyNumberFormat="1" applyFont="1"/>
    <xf numFmtId="0" fontId="42" fillId="0" borderId="0" xfId="0" applyFont="1" applyAlignment="1">
      <alignment horizontal="right"/>
    </xf>
    <xf numFmtId="0" fontId="44" fillId="0" borderId="0" xfId="0" applyFont="1"/>
    <xf numFmtId="0" fontId="44" fillId="0" borderId="0" xfId="0" applyFont="1" applyAlignment="1">
      <alignment horizontal="right"/>
    </xf>
    <xf numFmtId="174" fontId="39" fillId="0" borderId="0" xfId="0" applyNumberFormat="1" applyFont="1" applyAlignment="1">
      <alignment horizontal="center"/>
    </xf>
    <xf numFmtId="174" fontId="0" fillId="0" borderId="22" xfId="0" applyNumberFormat="1" applyBorder="1" applyAlignment="1">
      <alignment horizontal="center"/>
    </xf>
    <xf numFmtId="174" fontId="0" fillId="0" borderId="0" xfId="0" applyNumberFormat="1" applyBorder="1" applyAlignment="1">
      <alignment horizontal="center"/>
    </xf>
    <xf numFmtId="174" fontId="39" fillId="13" borderId="0" xfId="0" applyNumberFormat="1" applyFont="1" applyFill="1" applyBorder="1" applyAlignment="1">
      <alignment horizontal="center"/>
    </xf>
    <xf numFmtId="174" fontId="0" fillId="0" borderId="23" xfId="0" applyNumberFormat="1" applyBorder="1" applyAlignment="1">
      <alignment horizontal="center"/>
    </xf>
    <xf numFmtId="174" fontId="0" fillId="0" borderId="24" xfId="0" applyNumberFormat="1" applyBorder="1" applyAlignment="1">
      <alignment horizontal="center"/>
    </xf>
    <xf numFmtId="174" fontId="0" fillId="0" borderId="25" xfId="0" applyNumberFormat="1" applyBorder="1" applyAlignment="1">
      <alignment horizontal="center"/>
    </xf>
    <xf numFmtId="174" fontId="0" fillId="0" borderId="26" xfId="0" applyNumberFormat="1" applyBorder="1" applyAlignment="1">
      <alignment horizontal="center"/>
    </xf>
    <xf numFmtId="174" fontId="0" fillId="0" borderId="27" xfId="0" applyNumberFormat="1" applyBorder="1" applyAlignment="1">
      <alignment horizontal="center"/>
    </xf>
    <xf numFmtId="174" fontId="0" fillId="0" borderId="28" xfId="0" applyNumberFormat="1" applyBorder="1" applyAlignment="1">
      <alignment horizontal="center"/>
    </xf>
    <xf numFmtId="174" fontId="0" fillId="0" borderId="29" xfId="0" applyNumberFormat="1" applyBorder="1" applyAlignment="1">
      <alignment horizontal="center"/>
    </xf>
    <xf numFmtId="0" fontId="36" fillId="14" borderId="0" xfId="0" applyFont="1" applyFill="1"/>
    <xf numFmtId="0" fontId="0" fillId="14" borderId="0" xfId="0" applyFill="1"/>
    <xf numFmtId="0" fontId="45" fillId="0" borderId="0" xfId="0" applyFont="1"/>
    <xf numFmtId="0" fontId="46" fillId="0" borderId="0" xfId="0" applyFont="1"/>
    <xf numFmtId="0" fontId="47" fillId="0" borderId="0" xfId="0" applyFont="1"/>
    <xf numFmtId="173" fontId="39" fillId="0" borderId="0" xfId="0" applyNumberFormat="1" applyFont="1" applyAlignment="1">
      <alignment horizontal="center"/>
    </xf>
    <xf numFmtId="0" fontId="36" fillId="9" borderId="0" xfId="0" applyFont="1" applyFill="1" applyAlignment="1">
      <alignment horizontal="center"/>
    </xf>
    <xf numFmtId="0" fontId="36" fillId="15" borderId="0" xfId="0" applyFont="1" applyFill="1" applyAlignment="1">
      <alignment horizontal="center"/>
    </xf>
    <xf numFmtId="0" fontId="45" fillId="0" borderId="0" xfId="0" applyFont="1"/>
    <xf numFmtId="0" fontId="45" fillId="0" borderId="0" xfId="0" applyFont="1" applyAlignment="1">
      <alignment wrapText="1"/>
    </xf>
    <xf numFmtId="0" fontId="35" fillId="0" borderId="0" xfId="0" applyFont="1"/>
    <xf numFmtId="0" fontId="35" fillId="0" borderId="0" xfId="0" applyFont="1" applyAlignment="1">
      <alignment wrapText="1"/>
    </xf>
    <xf numFmtId="0" fontId="47" fillId="0" borderId="0" xfId="0" applyFont="1"/>
    <xf numFmtId="0" fontId="47" fillId="0" borderId="0" xfId="0" applyFont="1" applyAlignment="1">
      <alignment wrapText="1"/>
    </xf>
    <xf numFmtId="0" fontId="39" fillId="10" borderId="30" xfId="0" applyFont="1" applyFill="1" applyBorder="1"/>
    <xf numFmtId="0" fontId="39" fillId="10" borderId="30" xfId="0" applyFont="1" applyFill="1" applyBorder="1" applyAlignment="1">
      <alignment horizontal="right"/>
    </xf>
    <xf numFmtId="0" fontId="48" fillId="10" borderId="30" xfId="0" applyFont="1" applyFill="1" applyBorder="1" applyAlignment="1">
      <alignment horizontal="right"/>
    </xf>
    <xf numFmtId="0" fontId="0" fillId="0" borderId="30" xfId="0" applyBorder="1"/>
    <xf numFmtId="0" fontId="0" fillId="0" borderId="30" xfId="0" applyBorder="1" applyAlignment="1">
      <alignment horizontal="right"/>
    </xf>
    <xf numFmtId="1" fontId="38" fillId="0" borderId="30" xfId="0" applyNumberFormat="1" applyFont="1" applyBorder="1" applyAlignment="1">
      <alignment horizontal="right"/>
    </xf>
    <xf numFmtId="173" fontId="38" fillId="0" borderId="30" xfId="0" applyNumberFormat="1" applyFont="1" applyBorder="1"/>
    <xf numFmtId="173" fontId="0" fillId="0" borderId="30" xfId="0" applyNumberFormat="1" applyBorder="1"/>
    <xf numFmtId="10" fontId="38" fillId="0" borderId="30" xfId="0" applyNumberFormat="1" applyFont="1" applyBorder="1"/>
    <xf numFmtId="10" fontId="42" fillId="0" borderId="30" xfId="0" applyNumberFormat="1" applyFont="1" applyBorder="1"/>
    <xf numFmtId="173" fontId="42" fillId="0" borderId="30" xfId="0" applyNumberFormat="1" applyFont="1" applyBorder="1"/>
    <xf numFmtId="0" fontId="36" fillId="12" borderId="30" xfId="0" applyFont="1" applyFill="1" applyBorder="1"/>
    <xf numFmtId="0" fontId="0" fillId="12" borderId="30" xfId="0" applyFill="1" applyBorder="1"/>
    <xf numFmtId="0" fontId="39" fillId="0" borderId="30" xfId="0" applyFont="1" applyBorder="1"/>
    <xf numFmtId="174" fontId="49" fillId="16" borderId="30" xfId="0" applyNumberFormat="1" applyFont="1" applyFill="1" applyBorder="1"/>
    <xf numFmtId="174" fontId="42" fillId="0" borderId="30" xfId="0" applyNumberFormat="1" applyFont="1" applyBorder="1"/>
    <xf numFmtId="178" fontId="49" fillId="0" borderId="30" xfId="0" applyNumberFormat="1" applyFont="1" applyBorder="1"/>
    <xf numFmtId="178" fontId="42" fillId="0" borderId="30" xfId="0" applyNumberFormat="1" applyFont="1" applyBorder="1"/>
    <xf numFmtId="174" fontId="38" fillId="0" borderId="30" xfId="0" applyNumberFormat="1" applyFont="1" applyBorder="1"/>
    <xf numFmtId="0" fontId="50" fillId="0" borderId="0" xfId="0" applyFont="1" applyAlignment="1">
      <alignment vertical="center"/>
    </xf>
    <xf numFmtId="0" fontId="50" fillId="0" borderId="0" xfId="0" applyFont="1" applyAlignment="1">
      <alignment horizontal="left" vertical="center" indent="1"/>
    </xf>
    <xf numFmtId="0" fontId="50" fillId="0" borderId="0" xfId="0" applyFont="1"/>
  </cellXfs>
  <cellStyles count="4">
    <cellStyle name="Comma 2" xfId="2" xr:uid="{FC4FE7D1-9D65-4E6F-B624-E6B4A7012086}"/>
    <cellStyle name="Normal" xfId="0" builtinId="0"/>
    <cellStyle name="Normal 2" xfId="1" xr:uid="{A5878D36-72C4-497C-8CCC-43EBB6C7A410}"/>
    <cellStyle name="Normal 3" xfId="3" xr:uid="{C04FB228-4CE9-4EB1-9D36-2ADCA0999A5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256181</xdr:colOff>
      <xdr:row>27</xdr:row>
      <xdr:rowOff>34387</xdr:rowOff>
    </xdr:from>
    <xdr:ext cx="113665" cy="75565"/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55A8D33C-7016-4C7D-A8AE-2F86D5FFEC89}"/>
            </a:ext>
          </a:extLst>
        </xdr:cNvPr>
        <xdr:cNvSpPr txBox="1"/>
      </xdr:nvSpPr>
      <xdr:spPr>
        <a:xfrm>
          <a:off x="821331" y="4403187"/>
          <a:ext cx="113665" cy="7556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50" b="0" spc="-15">
              <a:latin typeface="Arial"/>
              <a:cs typeface="Arial"/>
            </a:rPr>
            <a:t>4155</a:t>
          </a:r>
        </a:p>
      </xdr:txBody>
    </xdr:sp>
    <xdr:clientData/>
  </xdr:oneCellAnchor>
  <xdr:oneCellAnchor>
    <xdr:from>
      <xdr:col>1</xdr:col>
      <xdr:colOff>0</xdr:colOff>
      <xdr:row>118</xdr:row>
      <xdr:rowOff>0</xdr:rowOff>
    </xdr:from>
    <xdr:ext cx="9144000" cy="95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B5EBA9D4-68F2-49CE-A864-8C1EAF22DD9C}"/>
            </a:ext>
          </a:extLst>
        </xdr:cNvPr>
        <xdr:cNvSpPr/>
      </xdr:nvSpPr>
      <xdr:spPr>
        <a:xfrm>
          <a:off x="561975" y="19107150"/>
          <a:ext cx="9144000" cy="9525"/>
        </a:xfrm>
        <a:custGeom>
          <a:avLst/>
          <a:gdLst/>
          <a:ahLst/>
          <a:cxnLst/>
          <a:rect l="0" t="0" r="0" b="0"/>
          <a:pathLst>
            <a:path w="9144000" h="9525">
              <a:moveTo>
                <a:pt x="9144000" y="0"/>
              </a:moveTo>
              <a:lnTo>
                <a:pt x="0" y="0"/>
              </a:lnTo>
              <a:lnTo>
                <a:pt x="0" y="9525"/>
              </a:lnTo>
              <a:lnTo>
                <a:pt x="9144000" y="9525"/>
              </a:lnTo>
              <a:lnTo>
                <a:pt x="91440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0</xdr:colOff>
      <xdr:row>118</xdr:row>
      <xdr:rowOff>0</xdr:rowOff>
    </xdr:from>
    <xdr:ext cx="9144000" cy="95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C0BE62AB-7590-474C-A90C-4A39171C5FDF}"/>
            </a:ext>
          </a:extLst>
        </xdr:cNvPr>
        <xdr:cNvSpPr/>
      </xdr:nvSpPr>
      <xdr:spPr>
        <a:xfrm>
          <a:off x="561975" y="19107150"/>
          <a:ext cx="9144000" cy="9525"/>
        </a:xfrm>
        <a:custGeom>
          <a:avLst/>
          <a:gdLst/>
          <a:ahLst/>
          <a:cxnLst/>
          <a:rect l="0" t="0" r="0" b="0"/>
          <a:pathLst>
            <a:path w="9144000" h="9525">
              <a:moveTo>
                <a:pt x="9144000" y="0"/>
              </a:moveTo>
              <a:lnTo>
                <a:pt x="0" y="0"/>
              </a:lnTo>
              <a:lnTo>
                <a:pt x="0" y="9525"/>
              </a:lnTo>
              <a:lnTo>
                <a:pt x="9144000" y="9525"/>
              </a:lnTo>
              <a:lnTo>
                <a:pt x="91440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885A834-BCD8-490F-B378-9288FF57A58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edd3884-fec0-45f5-83e5-f0163e2ca027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3"/>
  <sheetViews>
    <sheetView showWhiteSpace="0" workbookViewId="0">
      <selection activeCell="A27" sqref="A27"/>
    </sheetView>
  </sheetViews>
  <sheetFormatPr defaultRowHeight="14"/>
  <cols>
    <col min="1" max="1" width="27.6640625" bestFit="1" customWidth="1"/>
    <col min="2" max="10" width="21.58203125" bestFit="1" customWidth="1"/>
    <col min="11" max="11" width="21.4140625" bestFit="1" customWidth="1"/>
    <col min="12" max="13" width="21.58203125" bestFit="1" customWidth="1"/>
    <col min="14" max="14" width="23.4140625" bestFit="1" customWidth="1"/>
    <col min="15" max="15" width="33.08203125" bestFit="1" customWidth="1"/>
  </cols>
  <sheetData>
    <row r="1" spans="1:15" ht="2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16.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ht="16.5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ht="16.5">
      <c r="A4" s="8" t="s">
        <v>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ht="16.5">
      <c r="A5" s="8" t="s">
        <v>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ht="16.5">
      <c r="A6" s="8" t="s">
        <v>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 ht="16.5">
      <c r="A7" s="8" t="s">
        <v>5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ht="16.5">
      <c r="A8" s="8" t="s">
        <v>6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ht="16.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ht="15.5">
      <c r="A11" s="3" t="s">
        <v>22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3"/>
    </row>
    <row r="12" spans="1:15" ht="15.5">
      <c r="A12" s="3" t="s">
        <v>23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3"/>
    </row>
    <row r="13" spans="1:15" ht="15.5">
      <c r="A13" s="3" t="s">
        <v>24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3"/>
    </row>
    <row r="14" spans="1:15" ht="15.5">
      <c r="A14" s="2" t="s">
        <v>25</v>
      </c>
      <c r="B14" s="4">
        <v>78897.789999999994</v>
      </c>
      <c r="C14" s="4">
        <v>79496</v>
      </c>
      <c r="D14" s="4">
        <v>77736</v>
      </c>
      <c r="E14" s="4">
        <v>83287.8</v>
      </c>
      <c r="F14" s="4">
        <v>84069</v>
      </c>
      <c r="G14" s="4">
        <v>79301</v>
      </c>
      <c r="H14" s="4">
        <v>72960.69</v>
      </c>
      <c r="I14" s="4">
        <v>72265</v>
      </c>
      <c r="J14" s="4">
        <v>70194.25</v>
      </c>
      <c r="K14" s="4">
        <v>69825</v>
      </c>
      <c r="L14" s="4">
        <v>69443.58</v>
      </c>
      <c r="M14" s="4">
        <v>76874.100000000006</v>
      </c>
      <c r="N14" s="4">
        <v>914350.21</v>
      </c>
      <c r="O14" s="2" t="s">
        <v>26</v>
      </c>
    </row>
    <row r="15" spans="1:15" ht="15.5">
      <c r="A15" s="2" t="s">
        <v>27</v>
      </c>
      <c r="B15" s="4">
        <v>9599</v>
      </c>
      <c r="C15" s="4">
        <v>9847</v>
      </c>
      <c r="D15" s="4">
        <v>9838</v>
      </c>
      <c r="E15" s="4">
        <v>9024</v>
      </c>
      <c r="F15" s="4">
        <v>7454</v>
      </c>
      <c r="G15" s="4">
        <v>7454</v>
      </c>
      <c r="H15" s="4">
        <v>7757</v>
      </c>
      <c r="I15" s="4">
        <v>8124</v>
      </c>
      <c r="J15" s="4">
        <v>9236</v>
      </c>
      <c r="K15" s="4">
        <v>9918</v>
      </c>
      <c r="L15" s="4">
        <v>9860</v>
      </c>
      <c r="M15" s="4">
        <v>9962</v>
      </c>
      <c r="N15" s="4">
        <v>108073</v>
      </c>
      <c r="O15" s="2" t="s">
        <v>28</v>
      </c>
    </row>
    <row r="16" spans="1:15" ht="15.5">
      <c r="A16" s="2" t="s">
        <v>29</v>
      </c>
      <c r="B16" s="4">
        <v>-1978</v>
      </c>
      <c r="C16" s="4">
        <v>-3000</v>
      </c>
      <c r="D16" s="4">
        <v>-3043.5</v>
      </c>
      <c r="E16" s="4">
        <v>-1269</v>
      </c>
      <c r="F16" s="4">
        <v>-1646.5</v>
      </c>
      <c r="G16" s="4">
        <v>-104.5</v>
      </c>
      <c r="H16" s="4">
        <v>-1502.5</v>
      </c>
      <c r="I16" s="4">
        <v>-1446</v>
      </c>
      <c r="J16" s="4">
        <v>-1350</v>
      </c>
      <c r="K16" s="4">
        <v>-3270</v>
      </c>
      <c r="L16" s="4">
        <v>-6365</v>
      </c>
      <c r="M16" s="4">
        <v>-12870</v>
      </c>
      <c r="N16" s="4">
        <v>-37845</v>
      </c>
      <c r="O16" s="2" t="s">
        <v>30</v>
      </c>
    </row>
    <row r="17" spans="1:15" ht="15.5">
      <c r="A17" s="2" t="s">
        <v>31</v>
      </c>
      <c r="B17" s="4">
        <v>0</v>
      </c>
      <c r="C17" s="4">
        <v>-873.98</v>
      </c>
      <c r="D17" s="4">
        <v>-75</v>
      </c>
      <c r="E17" s="4">
        <v>0</v>
      </c>
      <c r="F17" s="4">
        <v>0</v>
      </c>
      <c r="G17" s="4">
        <v>-75</v>
      </c>
      <c r="H17" s="4">
        <v>0</v>
      </c>
      <c r="I17" s="4">
        <v>-20.54</v>
      </c>
      <c r="J17" s="4">
        <v>0</v>
      </c>
      <c r="K17" s="4">
        <v>-150.54</v>
      </c>
      <c r="L17" s="4">
        <v>-885</v>
      </c>
      <c r="M17" s="4">
        <v>0</v>
      </c>
      <c r="N17" s="4">
        <v>-2080.06</v>
      </c>
      <c r="O17" s="2" t="s">
        <v>32</v>
      </c>
    </row>
    <row r="18" spans="1:15" ht="15.5">
      <c r="A18" s="2" t="s">
        <v>33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-56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-56</v>
      </c>
      <c r="O18" s="2" t="s">
        <v>34</v>
      </c>
    </row>
    <row r="19" spans="1:15" ht="15.5">
      <c r="A19" s="3" t="s">
        <v>35</v>
      </c>
      <c r="B19" s="6">
        <v>86518.79</v>
      </c>
      <c r="C19" s="6">
        <v>85469.02</v>
      </c>
      <c r="D19" s="6">
        <v>84455.5</v>
      </c>
      <c r="E19" s="6">
        <v>91042.8</v>
      </c>
      <c r="F19" s="6">
        <v>89876.5</v>
      </c>
      <c r="G19" s="6">
        <v>86575.5</v>
      </c>
      <c r="H19" s="6">
        <v>79159.19</v>
      </c>
      <c r="I19" s="6">
        <v>78922.460000000006</v>
      </c>
      <c r="J19" s="6">
        <v>78080.25</v>
      </c>
      <c r="K19" s="6">
        <v>76322.460000000006</v>
      </c>
      <c r="L19" s="6">
        <v>72053.58</v>
      </c>
      <c r="M19" s="6">
        <v>73966.100000000006</v>
      </c>
      <c r="N19" s="6">
        <v>982442.15</v>
      </c>
      <c r="O19" s="3"/>
    </row>
    <row r="20" spans="1:15" ht="15.5">
      <c r="A20" s="3" t="s">
        <v>36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3"/>
    </row>
    <row r="21" spans="1:15" ht="15.5">
      <c r="A21" s="2" t="s">
        <v>37</v>
      </c>
      <c r="B21" s="4">
        <v>350</v>
      </c>
      <c r="C21" s="4">
        <v>250</v>
      </c>
      <c r="D21" s="4">
        <v>250</v>
      </c>
      <c r="E21" s="4">
        <v>300</v>
      </c>
      <c r="F21" s="4">
        <v>250</v>
      </c>
      <c r="G21" s="4">
        <v>150</v>
      </c>
      <c r="H21" s="4">
        <v>150</v>
      </c>
      <c r="I21" s="4">
        <v>150</v>
      </c>
      <c r="J21" s="4">
        <v>200</v>
      </c>
      <c r="K21" s="4">
        <v>200</v>
      </c>
      <c r="L21" s="4">
        <v>350</v>
      </c>
      <c r="M21" s="4">
        <v>300</v>
      </c>
      <c r="N21" s="4">
        <v>2900</v>
      </c>
      <c r="O21" s="2" t="s">
        <v>38</v>
      </c>
    </row>
    <row r="22" spans="1:15" ht="15.5">
      <c r="A22" s="2" t="s">
        <v>39</v>
      </c>
      <c r="B22" s="4">
        <v>497.5</v>
      </c>
      <c r="C22" s="4">
        <v>-501</v>
      </c>
      <c r="D22" s="4">
        <v>303.38</v>
      </c>
      <c r="E22" s="4">
        <v>-159.78</v>
      </c>
      <c r="F22" s="4">
        <v>483.6</v>
      </c>
      <c r="G22" s="4">
        <v>-16.93</v>
      </c>
      <c r="H22" s="4">
        <v>127.13</v>
      </c>
      <c r="I22" s="4">
        <v>-50.6</v>
      </c>
      <c r="J22" s="4">
        <v>-56.09</v>
      </c>
      <c r="K22" s="4">
        <v>-81.81</v>
      </c>
      <c r="L22" s="4">
        <v>70</v>
      </c>
      <c r="M22" s="4">
        <v>-39</v>
      </c>
      <c r="N22" s="4">
        <v>576.4</v>
      </c>
      <c r="O22" s="2" t="s">
        <v>40</v>
      </c>
    </row>
    <row r="23" spans="1:15" ht="15.5">
      <c r="A23" s="2" t="s">
        <v>41</v>
      </c>
      <c r="B23" s="4">
        <v>40</v>
      </c>
      <c r="C23" s="4">
        <v>-40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100</v>
      </c>
      <c r="J23" s="4">
        <v>-100</v>
      </c>
      <c r="K23" s="4">
        <v>0</v>
      </c>
      <c r="L23" s="4">
        <v>0</v>
      </c>
      <c r="M23" s="4">
        <v>0</v>
      </c>
      <c r="N23" s="4">
        <v>0</v>
      </c>
      <c r="O23" s="2" t="s">
        <v>42</v>
      </c>
    </row>
    <row r="24" spans="1:15" ht="15.5">
      <c r="A24" s="2" t="s">
        <v>43</v>
      </c>
      <c r="B24" s="4">
        <v>250</v>
      </c>
      <c r="C24" s="4">
        <v>525</v>
      </c>
      <c r="D24" s="4">
        <v>225</v>
      </c>
      <c r="E24" s="4">
        <v>1750</v>
      </c>
      <c r="F24" s="4">
        <v>550</v>
      </c>
      <c r="G24" s="4">
        <v>500</v>
      </c>
      <c r="H24" s="4">
        <v>450</v>
      </c>
      <c r="I24" s="4">
        <v>750</v>
      </c>
      <c r="J24" s="4">
        <v>150</v>
      </c>
      <c r="K24" s="4">
        <v>150</v>
      </c>
      <c r="L24" s="4">
        <v>450</v>
      </c>
      <c r="M24" s="4">
        <v>1300</v>
      </c>
      <c r="N24" s="4">
        <v>7050</v>
      </c>
      <c r="O24" s="2" t="s">
        <v>44</v>
      </c>
    </row>
    <row r="25" spans="1:15" ht="15.5">
      <c r="A25" s="2" t="s">
        <v>45</v>
      </c>
      <c r="B25" s="4">
        <v>400</v>
      </c>
      <c r="C25" s="4">
        <v>429</v>
      </c>
      <c r="D25" s="4">
        <v>425</v>
      </c>
      <c r="E25" s="4">
        <v>515</v>
      </c>
      <c r="F25" s="4">
        <v>534</v>
      </c>
      <c r="G25" s="4">
        <v>515.79999999999995</v>
      </c>
      <c r="H25" s="4">
        <v>605.66999999999996</v>
      </c>
      <c r="I25" s="4">
        <v>740</v>
      </c>
      <c r="J25" s="4">
        <v>650</v>
      </c>
      <c r="K25" s="4">
        <v>625</v>
      </c>
      <c r="L25" s="4">
        <v>550</v>
      </c>
      <c r="M25" s="4">
        <v>667</v>
      </c>
      <c r="N25" s="4">
        <v>6656.47</v>
      </c>
      <c r="O25" s="2" t="s">
        <v>46</v>
      </c>
    </row>
    <row r="26" spans="1:15" ht="15.5">
      <c r="A26" s="2" t="s">
        <v>47</v>
      </c>
      <c r="B26" s="4">
        <v>118.11</v>
      </c>
      <c r="C26" s="4">
        <v>157.93</v>
      </c>
      <c r="D26" s="4">
        <v>49.34</v>
      </c>
      <c r="E26" s="4">
        <v>511.71</v>
      </c>
      <c r="F26" s="4">
        <v>60</v>
      </c>
      <c r="G26" s="4">
        <v>30</v>
      </c>
      <c r="H26" s="4">
        <v>-30</v>
      </c>
      <c r="I26" s="4">
        <v>30</v>
      </c>
      <c r="J26" s="4">
        <v>-40</v>
      </c>
      <c r="K26" s="4">
        <v>11</v>
      </c>
      <c r="L26" s="4">
        <v>0</v>
      </c>
      <c r="M26" s="4">
        <v>0</v>
      </c>
      <c r="N26" s="4">
        <v>898.09</v>
      </c>
      <c r="O26" s="2" t="s">
        <v>48</v>
      </c>
    </row>
    <row r="27" spans="1:15" ht="15.5">
      <c r="A27" s="2" t="s">
        <v>49</v>
      </c>
      <c r="B27" s="4">
        <v>11.36</v>
      </c>
      <c r="C27" s="4">
        <v>82.29</v>
      </c>
      <c r="D27" s="4">
        <v>52.13</v>
      </c>
      <c r="E27" s="4">
        <v>172.99</v>
      </c>
      <c r="F27" s="4">
        <v>10</v>
      </c>
      <c r="G27" s="4">
        <v>10</v>
      </c>
      <c r="H27" s="4">
        <v>-10</v>
      </c>
      <c r="I27" s="4">
        <v>10</v>
      </c>
      <c r="J27" s="4">
        <v>0</v>
      </c>
      <c r="K27" s="4">
        <v>0</v>
      </c>
      <c r="L27" s="4">
        <v>0</v>
      </c>
      <c r="M27" s="4">
        <v>0</v>
      </c>
      <c r="N27" s="4">
        <v>338.77</v>
      </c>
      <c r="O27" s="2" t="s">
        <v>50</v>
      </c>
    </row>
    <row r="28" spans="1:15" ht="15.5">
      <c r="A28" s="2" t="s">
        <v>51</v>
      </c>
      <c r="B28" s="4">
        <v>0</v>
      </c>
      <c r="C28" s="4">
        <v>0</v>
      </c>
      <c r="D28" s="4">
        <v>11</v>
      </c>
      <c r="E28" s="4">
        <v>-597.79999999999995</v>
      </c>
      <c r="F28" s="4">
        <v>-58.95</v>
      </c>
      <c r="G28" s="4">
        <v>-227.51</v>
      </c>
      <c r="H28" s="4">
        <v>-181.25</v>
      </c>
      <c r="I28" s="4">
        <v>648.34</v>
      </c>
      <c r="J28" s="4">
        <v>-368.21</v>
      </c>
      <c r="K28" s="4">
        <v>154.9</v>
      </c>
      <c r="L28" s="4">
        <v>-589.88</v>
      </c>
      <c r="M28" s="4">
        <v>448.03</v>
      </c>
      <c r="N28" s="4">
        <v>-761.33</v>
      </c>
      <c r="O28" s="2" t="s">
        <v>52</v>
      </c>
    </row>
    <row r="29" spans="1:15" ht="15.5">
      <c r="A29" s="3" t="s">
        <v>53</v>
      </c>
      <c r="B29" s="6">
        <v>1666.97</v>
      </c>
      <c r="C29" s="6">
        <v>903.22</v>
      </c>
      <c r="D29" s="6">
        <v>1315.85</v>
      </c>
      <c r="E29" s="6">
        <v>2492.12</v>
      </c>
      <c r="F29" s="6">
        <v>1828.65</v>
      </c>
      <c r="G29" s="6">
        <v>961.36</v>
      </c>
      <c r="H29" s="6">
        <v>1111.55</v>
      </c>
      <c r="I29" s="6">
        <v>2377.7399999999998</v>
      </c>
      <c r="J29" s="6">
        <v>435.7</v>
      </c>
      <c r="K29" s="6">
        <v>1059.0899999999999</v>
      </c>
      <c r="L29" s="6">
        <v>830.12</v>
      </c>
      <c r="M29" s="6">
        <v>2676.03</v>
      </c>
      <c r="N29" s="6">
        <v>17658.400000000001</v>
      </c>
      <c r="O29" s="3"/>
    </row>
    <row r="30" spans="1:15" ht="15.5">
      <c r="A30" s="3" t="s">
        <v>54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3"/>
    </row>
    <row r="31" spans="1:15" ht="15.5">
      <c r="A31" s="2" t="s">
        <v>55</v>
      </c>
      <c r="B31" s="4">
        <v>0</v>
      </c>
      <c r="C31" s="4">
        <v>997.16</v>
      </c>
      <c r="D31" s="4">
        <v>423.66</v>
      </c>
      <c r="E31" s="4">
        <v>334.72</v>
      </c>
      <c r="F31" s="4">
        <v>567.5</v>
      </c>
      <c r="G31" s="4">
        <v>958.45</v>
      </c>
      <c r="H31" s="4">
        <v>897.33</v>
      </c>
      <c r="I31" s="4">
        <v>852.09</v>
      </c>
      <c r="J31" s="4">
        <v>1788.12</v>
      </c>
      <c r="K31" s="4">
        <v>1557.94</v>
      </c>
      <c r="L31" s="4">
        <v>1190.06</v>
      </c>
      <c r="M31" s="4">
        <v>1702.1</v>
      </c>
      <c r="N31" s="4">
        <v>11269.13</v>
      </c>
      <c r="O31" s="2" t="s">
        <v>56</v>
      </c>
    </row>
    <row r="32" spans="1:15" ht="15.5">
      <c r="A32" s="3" t="s">
        <v>57</v>
      </c>
      <c r="B32" s="6">
        <v>0</v>
      </c>
      <c r="C32" s="6">
        <v>997.16</v>
      </c>
      <c r="D32" s="6">
        <v>423.66</v>
      </c>
      <c r="E32" s="6">
        <v>334.72</v>
      </c>
      <c r="F32" s="6">
        <v>567.5</v>
      </c>
      <c r="G32" s="6">
        <v>958.45</v>
      </c>
      <c r="H32" s="6">
        <v>897.33</v>
      </c>
      <c r="I32" s="6">
        <v>852.09</v>
      </c>
      <c r="J32" s="6">
        <v>1788.12</v>
      </c>
      <c r="K32" s="6">
        <v>1557.94</v>
      </c>
      <c r="L32" s="6">
        <v>1190.06</v>
      </c>
      <c r="M32" s="6">
        <v>1702.1</v>
      </c>
      <c r="N32" s="6">
        <v>11269.13</v>
      </c>
      <c r="O32" s="3"/>
    </row>
    <row r="33" spans="1:15" ht="15.5">
      <c r="A33" s="3" t="s">
        <v>58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3"/>
    </row>
    <row r="34" spans="1:15" ht="15.5">
      <c r="A34" s="2" t="s">
        <v>59</v>
      </c>
      <c r="B34" s="4">
        <v>0</v>
      </c>
      <c r="C34" s="4">
        <v>800</v>
      </c>
      <c r="D34" s="4">
        <v>800</v>
      </c>
      <c r="E34" s="4">
        <v>578</v>
      </c>
      <c r="F34" s="4">
        <v>351</v>
      </c>
      <c r="G34" s="4">
        <v>820</v>
      </c>
      <c r="H34" s="4">
        <v>560</v>
      </c>
      <c r="I34" s="4">
        <v>1060</v>
      </c>
      <c r="J34" s="4">
        <v>1000</v>
      </c>
      <c r="K34" s="4">
        <v>1900</v>
      </c>
      <c r="L34" s="4">
        <v>2325</v>
      </c>
      <c r="M34" s="4">
        <v>198</v>
      </c>
      <c r="N34" s="4">
        <v>10392</v>
      </c>
      <c r="O34" s="2" t="s">
        <v>60</v>
      </c>
    </row>
    <row r="35" spans="1:15" ht="15.5">
      <c r="A35" s="2" t="s">
        <v>61</v>
      </c>
      <c r="B35" s="4">
        <v>0</v>
      </c>
      <c r="C35" s="4">
        <v>175</v>
      </c>
      <c r="D35" s="4">
        <v>0</v>
      </c>
      <c r="E35" s="4">
        <v>500</v>
      </c>
      <c r="F35" s="4">
        <v>0</v>
      </c>
      <c r="G35" s="4">
        <v>0</v>
      </c>
      <c r="H35" s="4">
        <v>0</v>
      </c>
      <c r="I35" s="4">
        <v>180</v>
      </c>
      <c r="J35" s="4">
        <v>0</v>
      </c>
      <c r="K35" s="4">
        <v>0</v>
      </c>
      <c r="L35" s="4">
        <v>0</v>
      </c>
      <c r="M35" s="4">
        <v>0</v>
      </c>
      <c r="N35" s="4">
        <v>855</v>
      </c>
      <c r="O35" s="2" t="s">
        <v>62</v>
      </c>
    </row>
    <row r="36" spans="1:15" ht="15.5">
      <c r="A36" s="2" t="s">
        <v>63</v>
      </c>
      <c r="B36" s="4">
        <v>0</v>
      </c>
      <c r="C36" s="4">
        <v>130</v>
      </c>
      <c r="D36" s="4">
        <v>45</v>
      </c>
      <c r="E36" s="4">
        <v>580</v>
      </c>
      <c r="F36" s="4">
        <v>415</v>
      </c>
      <c r="G36" s="4">
        <v>1540</v>
      </c>
      <c r="H36" s="4">
        <v>430</v>
      </c>
      <c r="I36" s="4">
        <v>4040</v>
      </c>
      <c r="J36" s="4">
        <v>0</v>
      </c>
      <c r="K36" s="4">
        <v>580</v>
      </c>
      <c r="L36" s="4">
        <v>640</v>
      </c>
      <c r="M36" s="4">
        <v>1840</v>
      </c>
      <c r="N36" s="4">
        <v>10240</v>
      </c>
      <c r="O36" s="2" t="s">
        <v>64</v>
      </c>
    </row>
    <row r="37" spans="1:15" ht="15.5">
      <c r="A37" s="2" t="s">
        <v>65</v>
      </c>
      <c r="B37" s="4">
        <v>300</v>
      </c>
      <c r="C37" s="4">
        <v>1718.32</v>
      </c>
      <c r="D37" s="4">
        <v>1171</v>
      </c>
      <c r="E37" s="4">
        <v>1787</v>
      </c>
      <c r="F37" s="4">
        <v>1282</v>
      </c>
      <c r="G37" s="4">
        <v>2178.1999999999998</v>
      </c>
      <c r="H37" s="4">
        <v>1041.4000000000001</v>
      </c>
      <c r="I37" s="4">
        <v>837</v>
      </c>
      <c r="J37" s="4">
        <v>310</v>
      </c>
      <c r="K37" s="4">
        <v>4134</v>
      </c>
      <c r="L37" s="4">
        <v>5250</v>
      </c>
      <c r="M37" s="4">
        <v>1340</v>
      </c>
      <c r="N37" s="4">
        <v>21348.92</v>
      </c>
      <c r="O37" s="2" t="s">
        <v>66</v>
      </c>
    </row>
    <row r="38" spans="1:15" ht="15.5">
      <c r="A38" s="2" t="s">
        <v>67</v>
      </c>
      <c r="B38" s="4">
        <v>0</v>
      </c>
      <c r="C38" s="4">
        <v>0</v>
      </c>
      <c r="D38" s="4">
        <v>75</v>
      </c>
      <c r="E38" s="4">
        <v>230</v>
      </c>
      <c r="F38" s="4">
        <v>0</v>
      </c>
      <c r="G38" s="4">
        <v>0</v>
      </c>
      <c r="H38" s="4">
        <v>0</v>
      </c>
      <c r="I38" s="4">
        <v>80</v>
      </c>
      <c r="J38" s="4">
        <v>0</v>
      </c>
      <c r="K38" s="4">
        <v>0</v>
      </c>
      <c r="L38" s="4">
        <v>0</v>
      </c>
      <c r="M38" s="4">
        <v>0</v>
      </c>
      <c r="N38" s="4">
        <v>385</v>
      </c>
      <c r="O38" s="2" t="s">
        <v>68</v>
      </c>
    </row>
    <row r="39" spans="1:15" ht="15.5">
      <c r="A39" s="2" t="s">
        <v>69</v>
      </c>
      <c r="B39" s="4">
        <v>0</v>
      </c>
      <c r="C39" s="4">
        <v>93.75</v>
      </c>
      <c r="D39" s="4">
        <v>0</v>
      </c>
      <c r="E39" s="4">
        <v>112.5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105.22</v>
      </c>
      <c r="L39" s="4">
        <v>0</v>
      </c>
      <c r="M39" s="4">
        <v>0</v>
      </c>
      <c r="N39" s="4">
        <v>311.47000000000003</v>
      </c>
      <c r="O39" s="2" t="s">
        <v>70</v>
      </c>
    </row>
    <row r="40" spans="1:15" ht="15.5">
      <c r="A40" s="2" t="s">
        <v>71</v>
      </c>
      <c r="B40" s="4">
        <v>200</v>
      </c>
      <c r="C40" s="4">
        <v>1200</v>
      </c>
      <c r="D40" s="4">
        <v>1200</v>
      </c>
      <c r="E40" s="4">
        <v>1200</v>
      </c>
      <c r="F40" s="4">
        <v>1200</v>
      </c>
      <c r="G40" s="4">
        <v>2400</v>
      </c>
      <c r="H40" s="4">
        <v>400</v>
      </c>
      <c r="I40" s="4">
        <v>400</v>
      </c>
      <c r="J40" s="4">
        <v>200</v>
      </c>
      <c r="K40" s="4">
        <v>1200</v>
      </c>
      <c r="L40" s="4">
        <v>800</v>
      </c>
      <c r="M40" s="4">
        <v>800</v>
      </c>
      <c r="N40" s="4">
        <v>11200</v>
      </c>
      <c r="O40" s="2" t="s">
        <v>72</v>
      </c>
    </row>
    <row r="41" spans="1:15" ht="15.5">
      <c r="A41" s="2" t="s">
        <v>73</v>
      </c>
      <c r="B41" s="4">
        <v>0</v>
      </c>
      <c r="C41" s="4">
        <v>130</v>
      </c>
      <c r="D41" s="4">
        <v>140</v>
      </c>
      <c r="E41" s="4">
        <v>711</v>
      </c>
      <c r="F41" s="4">
        <v>1500</v>
      </c>
      <c r="G41" s="4">
        <v>110</v>
      </c>
      <c r="H41" s="4">
        <v>800</v>
      </c>
      <c r="I41" s="4">
        <v>2602</v>
      </c>
      <c r="J41" s="4">
        <v>490</v>
      </c>
      <c r="K41" s="4">
        <v>90</v>
      </c>
      <c r="L41" s="4">
        <v>1575</v>
      </c>
      <c r="M41" s="4">
        <v>1830</v>
      </c>
      <c r="N41" s="4">
        <v>9978</v>
      </c>
      <c r="O41" s="2" t="s">
        <v>74</v>
      </c>
    </row>
    <row r="42" spans="1:15" ht="15.5">
      <c r="A42" s="3" t="s">
        <v>75</v>
      </c>
      <c r="B42" s="6">
        <v>500</v>
      </c>
      <c r="C42" s="6">
        <v>4247.07</v>
      </c>
      <c r="D42" s="6">
        <v>3431</v>
      </c>
      <c r="E42" s="6">
        <v>5698.5</v>
      </c>
      <c r="F42" s="6">
        <v>4748</v>
      </c>
      <c r="G42" s="6">
        <v>7048.2</v>
      </c>
      <c r="H42" s="6">
        <v>3231.4</v>
      </c>
      <c r="I42" s="6">
        <v>9199</v>
      </c>
      <c r="J42" s="6">
        <v>2000</v>
      </c>
      <c r="K42" s="6">
        <v>8009.22</v>
      </c>
      <c r="L42" s="6">
        <v>10590</v>
      </c>
      <c r="M42" s="6">
        <v>6008</v>
      </c>
      <c r="N42" s="6">
        <v>64710.39</v>
      </c>
      <c r="O42" s="3"/>
    </row>
    <row r="43" spans="1:15" ht="15.5">
      <c r="A43" s="3" t="s">
        <v>76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3"/>
    </row>
    <row r="44" spans="1:15" ht="15.5">
      <c r="A44" s="2" t="s">
        <v>77</v>
      </c>
      <c r="B44" s="4">
        <v>494.5</v>
      </c>
      <c r="C44" s="4">
        <v>578</v>
      </c>
      <c r="D44" s="4">
        <v>868.5</v>
      </c>
      <c r="E44" s="4">
        <v>716.5</v>
      </c>
      <c r="F44" s="4">
        <v>464.75</v>
      </c>
      <c r="G44" s="4">
        <v>448.25</v>
      </c>
      <c r="H44" s="4">
        <v>496.5</v>
      </c>
      <c r="I44" s="4">
        <v>0</v>
      </c>
      <c r="J44" s="4">
        <v>301</v>
      </c>
      <c r="K44" s="4">
        <v>409.75</v>
      </c>
      <c r="L44" s="4">
        <v>0</v>
      </c>
      <c r="M44" s="4">
        <v>602.25</v>
      </c>
      <c r="N44" s="4">
        <v>5380</v>
      </c>
      <c r="O44" s="2" t="s">
        <v>78</v>
      </c>
    </row>
    <row r="45" spans="1:15" ht="15.5">
      <c r="A45" s="2" t="s">
        <v>79</v>
      </c>
      <c r="B45" s="4">
        <v>0</v>
      </c>
      <c r="C45" s="4">
        <v>0</v>
      </c>
      <c r="D45" s="4">
        <v>605.22</v>
      </c>
      <c r="E45" s="4">
        <v>0</v>
      </c>
      <c r="F45" s="4">
        <v>0</v>
      </c>
      <c r="G45" s="4">
        <v>0</v>
      </c>
      <c r="H45" s="4">
        <v>557.05999999999995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1162.28</v>
      </c>
      <c r="O45" s="2" t="s">
        <v>80</v>
      </c>
    </row>
    <row r="46" spans="1:15" ht="15.5">
      <c r="A46" s="2" t="s">
        <v>81</v>
      </c>
      <c r="B46" s="4">
        <v>0</v>
      </c>
      <c r="C46" s="4">
        <v>108</v>
      </c>
      <c r="D46" s="4">
        <v>0</v>
      </c>
      <c r="E46" s="4">
        <v>150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673.84</v>
      </c>
      <c r="L46" s="4">
        <v>0</v>
      </c>
      <c r="M46" s="4">
        <v>0</v>
      </c>
      <c r="N46" s="4">
        <v>931.84</v>
      </c>
      <c r="O46" s="2" t="s">
        <v>82</v>
      </c>
    </row>
    <row r="47" spans="1:15" ht="15.5">
      <c r="A47" s="3" t="s">
        <v>83</v>
      </c>
      <c r="B47" s="6">
        <v>494.5</v>
      </c>
      <c r="C47" s="6">
        <v>686</v>
      </c>
      <c r="D47" s="6">
        <v>1473.72</v>
      </c>
      <c r="E47" s="6">
        <v>866.5</v>
      </c>
      <c r="F47" s="6">
        <v>464.75</v>
      </c>
      <c r="G47" s="6">
        <v>448.25</v>
      </c>
      <c r="H47" s="6">
        <v>1053.56</v>
      </c>
      <c r="I47" s="6">
        <v>0</v>
      </c>
      <c r="J47" s="6">
        <v>301</v>
      </c>
      <c r="K47" s="6">
        <v>1083.5899999999999</v>
      </c>
      <c r="L47" s="6">
        <v>0</v>
      </c>
      <c r="M47" s="6">
        <v>602.25</v>
      </c>
      <c r="N47" s="6">
        <v>7474.12</v>
      </c>
      <c r="O47" s="3"/>
    </row>
    <row r="48" spans="1:15" ht="15.5">
      <c r="A48" s="3" t="s">
        <v>84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3"/>
    </row>
    <row r="49" spans="1:15" ht="15.5">
      <c r="A49" s="2" t="s">
        <v>85</v>
      </c>
      <c r="B49" s="4">
        <v>0</v>
      </c>
      <c r="C49" s="4">
        <v>0</v>
      </c>
      <c r="D49" s="4">
        <v>0</v>
      </c>
      <c r="E49" s="4">
        <v>0</v>
      </c>
      <c r="F49" s="4">
        <v>-106.3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-106.3</v>
      </c>
      <c r="O49" s="2" t="s">
        <v>86</v>
      </c>
    </row>
    <row r="50" spans="1:15" ht="15.5">
      <c r="A50" s="3" t="s">
        <v>87</v>
      </c>
      <c r="B50" s="6">
        <v>0</v>
      </c>
      <c r="C50" s="6">
        <v>0</v>
      </c>
      <c r="D50" s="6">
        <v>0</v>
      </c>
      <c r="E50" s="6">
        <v>0</v>
      </c>
      <c r="F50" s="6">
        <v>-106.3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-106.3</v>
      </c>
      <c r="O50" s="3"/>
    </row>
    <row r="51" spans="1:15" ht="15.5">
      <c r="A51" s="3" t="s">
        <v>88</v>
      </c>
      <c r="B51" s="6">
        <v>89180.26</v>
      </c>
      <c r="C51" s="6">
        <v>92302.47</v>
      </c>
      <c r="D51" s="6">
        <v>91099.73</v>
      </c>
      <c r="E51" s="6">
        <v>100434.64</v>
      </c>
      <c r="F51" s="6">
        <v>97379.1</v>
      </c>
      <c r="G51" s="6">
        <v>95991.76</v>
      </c>
      <c r="H51" s="6">
        <v>85453.03</v>
      </c>
      <c r="I51" s="6">
        <v>91351.29</v>
      </c>
      <c r="J51" s="6">
        <v>82605.070000000007</v>
      </c>
      <c r="K51" s="6">
        <v>88032.3</v>
      </c>
      <c r="L51" s="6">
        <v>84663.76</v>
      </c>
      <c r="M51" s="6">
        <v>84954.48</v>
      </c>
      <c r="N51" s="6">
        <v>1083447.8899999999</v>
      </c>
      <c r="O51" s="3"/>
    </row>
    <row r="52" spans="1:15" ht="15.5">
      <c r="A52" s="3" t="s">
        <v>89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3"/>
    </row>
    <row r="53" spans="1:15" ht="15.5">
      <c r="A53" s="3" t="s">
        <v>90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3"/>
    </row>
    <row r="54" spans="1:15" ht="15.5">
      <c r="A54" s="3" t="s">
        <v>91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3"/>
    </row>
    <row r="55" spans="1:15" ht="15.5">
      <c r="A55" s="2" t="s">
        <v>92</v>
      </c>
      <c r="B55" s="4">
        <v>0</v>
      </c>
      <c r="C55" s="4">
        <v>0</v>
      </c>
      <c r="D55" s="4">
        <v>0</v>
      </c>
      <c r="E55" s="4">
        <v>0</v>
      </c>
      <c r="F55" s="4">
        <v>16.600000000000001</v>
      </c>
      <c r="G55" s="4">
        <v>0</v>
      </c>
      <c r="H55" s="4">
        <v>0</v>
      </c>
      <c r="I55" s="4">
        <v>21.4</v>
      </c>
      <c r="J55" s="4">
        <v>0</v>
      </c>
      <c r="K55" s="4">
        <v>12.6</v>
      </c>
      <c r="L55" s="4">
        <v>654.20000000000005</v>
      </c>
      <c r="M55" s="4">
        <v>14.6</v>
      </c>
      <c r="N55" s="4">
        <v>719.4</v>
      </c>
      <c r="O55" s="2" t="s">
        <v>93</v>
      </c>
    </row>
    <row r="56" spans="1:15" ht="15.5">
      <c r="A56" s="2" t="s">
        <v>94</v>
      </c>
      <c r="B56" s="4">
        <v>468</v>
      </c>
      <c r="C56" s="4">
        <v>986</v>
      </c>
      <c r="D56" s="4">
        <v>986</v>
      </c>
      <c r="E56" s="4">
        <v>986</v>
      </c>
      <c r="F56" s="4">
        <v>986</v>
      </c>
      <c r="G56" s="4">
        <v>819.94</v>
      </c>
      <c r="H56" s="4">
        <v>518</v>
      </c>
      <c r="I56" s="4">
        <v>1036</v>
      </c>
      <c r="J56" s="4">
        <v>518</v>
      </c>
      <c r="K56" s="4">
        <v>518</v>
      </c>
      <c r="L56" s="4">
        <v>518</v>
      </c>
      <c r="M56" s="4">
        <v>518</v>
      </c>
      <c r="N56" s="4">
        <v>8857.94</v>
      </c>
      <c r="O56" s="2" t="s">
        <v>95</v>
      </c>
    </row>
    <row r="57" spans="1:15" ht="15.5">
      <c r="A57" s="2" t="s">
        <v>96</v>
      </c>
      <c r="B57" s="4">
        <v>2505.1999999999998</v>
      </c>
      <c r="C57" s="4">
        <v>2472.5700000000002</v>
      </c>
      <c r="D57" s="4">
        <v>2545.79</v>
      </c>
      <c r="E57" s="4">
        <v>2792.79</v>
      </c>
      <c r="F57" s="4">
        <v>2432.12</v>
      </c>
      <c r="G57" s="4">
        <v>2295.2600000000002</v>
      </c>
      <c r="H57" s="4">
        <v>2719.39</v>
      </c>
      <c r="I57" s="4">
        <v>1973.56</v>
      </c>
      <c r="J57" s="4">
        <v>2556.8200000000002</v>
      </c>
      <c r="K57" s="4">
        <v>2272.9699999999998</v>
      </c>
      <c r="L57" s="4">
        <v>2493.96</v>
      </c>
      <c r="M57" s="4">
        <v>2458.33</v>
      </c>
      <c r="N57" s="4">
        <v>29518.76</v>
      </c>
      <c r="O57" s="2" t="s">
        <v>97</v>
      </c>
    </row>
    <row r="58" spans="1:15" ht="15.5">
      <c r="A58" s="2" t="s">
        <v>98</v>
      </c>
      <c r="B58" s="4">
        <v>0</v>
      </c>
      <c r="C58" s="4">
        <v>0</v>
      </c>
      <c r="D58" s="4">
        <v>0</v>
      </c>
      <c r="E58" s="4">
        <v>69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69</v>
      </c>
      <c r="O58" s="2" t="s">
        <v>99</v>
      </c>
    </row>
    <row r="59" spans="1:15" ht="15.5">
      <c r="A59" s="3" t="s">
        <v>100</v>
      </c>
      <c r="B59" s="6">
        <v>2973.2</v>
      </c>
      <c r="C59" s="6">
        <v>3458.57</v>
      </c>
      <c r="D59" s="6">
        <v>3531.79</v>
      </c>
      <c r="E59" s="6">
        <v>3847.79</v>
      </c>
      <c r="F59" s="6">
        <v>3434.72</v>
      </c>
      <c r="G59" s="6">
        <v>3115.2</v>
      </c>
      <c r="H59" s="6">
        <v>3237.39</v>
      </c>
      <c r="I59" s="6">
        <v>3030.96</v>
      </c>
      <c r="J59" s="6">
        <v>3074.82</v>
      </c>
      <c r="K59" s="6">
        <v>2803.57</v>
      </c>
      <c r="L59" s="6">
        <v>3666.16</v>
      </c>
      <c r="M59" s="6">
        <v>2990.93</v>
      </c>
      <c r="N59" s="6">
        <v>39165.1</v>
      </c>
      <c r="O59" s="3"/>
    </row>
    <row r="60" spans="1:15" ht="15.5">
      <c r="A60" s="3" t="s">
        <v>101</v>
      </c>
      <c r="B60" s="6">
        <v>2973.2</v>
      </c>
      <c r="C60" s="6">
        <v>3458.57</v>
      </c>
      <c r="D60" s="6">
        <v>3531.79</v>
      </c>
      <c r="E60" s="6">
        <v>3847.79</v>
      </c>
      <c r="F60" s="6">
        <v>3434.72</v>
      </c>
      <c r="G60" s="6">
        <v>3115.2</v>
      </c>
      <c r="H60" s="6">
        <v>3237.39</v>
      </c>
      <c r="I60" s="6">
        <v>3030.96</v>
      </c>
      <c r="J60" s="6">
        <v>3074.82</v>
      </c>
      <c r="K60" s="6">
        <v>2803.57</v>
      </c>
      <c r="L60" s="6">
        <v>3666.16</v>
      </c>
      <c r="M60" s="6">
        <v>2990.93</v>
      </c>
      <c r="N60" s="6">
        <v>39165.1</v>
      </c>
      <c r="O60" s="3"/>
    </row>
    <row r="61" spans="1:15" ht="15.5">
      <c r="A61" s="3" t="s">
        <v>102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3"/>
    </row>
    <row r="62" spans="1:15" ht="15.5">
      <c r="A62" s="2" t="s">
        <v>103</v>
      </c>
      <c r="B62" s="4">
        <v>1698.75</v>
      </c>
      <c r="C62" s="4">
        <v>4232.5</v>
      </c>
      <c r="D62" s="4">
        <v>2137.5</v>
      </c>
      <c r="E62" s="4">
        <v>4906.25</v>
      </c>
      <c r="F62" s="4">
        <v>1218.5</v>
      </c>
      <c r="G62" s="4">
        <v>4225.25</v>
      </c>
      <c r="H62" s="4">
        <v>1742.5</v>
      </c>
      <c r="I62" s="4">
        <v>152.5</v>
      </c>
      <c r="J62" s="4">
        <v>1177.3900000000001</v>
      </c>
      <c r="K62" s="4">
        <v>356.67</v>
      </c>
      <c r="L62" s="4">
        <v>2080.3000000000002</v>
      </c>
      <c r="M62" s="4">
        <v>3569.77</v>
      </c>
      <c r="N62" s="4">
        <v>27497.88</v>
      </c>
      <c r="O62" s="2" t="s">
        <v>104</v>
      </c>
    </row>
    <row r="63" spans="1:15" ht="15.5">
      <c r="A63" s="2" t="s">
        <v>105</v>
      </c>
      <c r="B63" s="4">
        <v>2648.75</v>
      </c>
      <c r="C63" s="4">
        <v>2684.95</v>
      </c>
      <c r="D63" s="4">
        <v>2175</v>
      </c>
      <c r="E63" s="4">
        <v>2175</v>
      </c>
      <c r="F63" s="4">
        <v>1462.5</v>
      </c>
      <c r="G63" s="4">
        <v>2632.5</v>
      </c>
      <c r="H63" s="4">
        <v>3430</v>
      </c>
      <c r="I63" s="4">
        <v>695</v>
      </c>
      <c r="J63" s="4">
        <v>75</v>
      </c>
      <c r="K63" s="4">
        <v>827.65</v>
      </c>
      <c r="L63" s="4">
        <v>610.1</v>
      </c>
      <c r="M63" s="4">
        <v>495.88</v>
      </c>
      <c r="N63" s="4">
        <v>19912.330000000002</v>
      </c>
      <c r="O63" s="2" t="s">
        <v>106</v>
      </c>
    </row>
    <row r="64" spans="1:15" ht="15.5">
      <c r="A64" s="2" t="s">
        <v>107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979.65</v>
      </c>
      <c r="J64" s="4">
        <v>0</v>
      </c>
      <c r="K64" s="4">
        <v>0</v>
      </c>
      <c r="L64" s="4">
        <v>0</v>
      </c>
      <c r="M64" s="4">
        <v>0</v>
      </c>
      <c r="N64" s="4">
        <v>979.65</v>
      </c>
      <c r="O64" s="2" t="s">
        <v>108</v>
      </c>
    </row>
    <row r="65" spans="1:15" ht="15.5">
      <c r="A65" s="2" t="s">
        <v>109</v>
      </c>
      <c r="B65" s="4">
        <v>270</v>
      </c>
      <c r="C65" s="4">
        <v>400</v>
      </c>
      <c r="D65" s="4">
        <v>237.5</v>
      </c>
      <c r="E65" s="4">
        <v>500</v>
      </c>
      <c r="F65" s="4">
        <v>0</v>
      </c>
      <c r="G65" s="4">
        <v>50</v>
      </c>
      <c r="H65" s="4">
        <v>75</v>
      </c>
      <c r="I65" s="4">
        <v>550</v>
      </c>
      <c r="J65" s="4">
        <v>50</v>
      </c>
      <c r="K65" s="4">
        <v>337.5</v>
      </c>
      <c r="L65" s="4">
        <v>527.49</v>
      </c>
      <c r="M65" s="4">
        <v>412.5</v>
      </c>
      <c r="N65" s="4">
        <v>3409.99</v>
      </c>
      <c r="O65" s="2" t="s">
        <v>110</v>
      </c>
    </row>
    <row r="66" spans="1:15" ht="15.5">
      <c r="A66" s="2" t="s">
        <v>111</v>
      </c>
      <c r="B66" s="4">
        <v>2381.5500000000002</v>
      </c>
      <c r="C66" s="4">
        <v>838.97</v>
      </c>
      <c r="D66" s="4">
        <v>764.47</v>
      </c>
      <c r="E66" s="4">
        <v>1596.75</v>
      </c>
      <c r="F66" s="4">
        <v>714.47</v>
      </c>
      <c r="G66" s="4">
        <v>2155.33</v>
      </c>
      <c r="H66" s="4">
        <v>1530.71</v>
      </c>
      <c r="I66" s="4">
        <v>952.63</v>
      </c>
      <c r="J66" s="4">
        <v>1872.78</v>
      </c>
      <c r="K66" s="4">
        <v>1018.61</v>
      </c>
      <c r="L66" s="4">
        <v>1535.52</v>
      </c>
      <c r="M66" s="4">
        <v>844.38</v>
      </c>
      <c r="N66" s="4">
        <v>16206.17</v>
      </c>
      <c r="O66" s="2" t="s">
        <v>112</v>
      </c>
    </row>
    <row r="67" spans="1:15" ht="15.5">
      <c r="A67" s="2" t="s">
        <v>113</v>
      </c>
      <c r="B67" s="4">
        <v>2010.78</v>
      </c>
      <c r="C67" s="4">
        <v>802.7</v>
      </c>
      <c r="D67" s="4">
        <v>2697.1</v>
      </c>
      <c r="E67" s="4">
        <v>3246.51</v>
      </c>
      <c r="F67" s="4">
        <v>785</v>
      </c>
      <c r="G67" s="4">
        <v>385.6</v>
      </c>
      <c r="H67" s="4">
        <v>470</v>
      </c>
      <c r="I67" s="4">
        <v>109.5</v>
      </c>
      <c r="J67" s="4">
        <v>129.5</v>
      </c>
      <c r="K67" s="4">
        <v>255.06</v>
      </c>
      <c r="L67" s="4">
        <v>438.54</v>
      </c>
      <c r="M67" s="4">
        <v>462.8</v>
      </c>
      <c r="N67" s="4">
        <v>11793.09</v>
      </c>
      <c r="O67" s="2" t="s">
        <v>114</v>
      </c>
    </row>
    <row r="68" spans="1:15" ht="15.5">
      <c r="A68" s="2" t="s">
        <v>115</v>
      </c>
      <c r="B68" s="4">
        <v>3423.68</v>
      </c>
      <c r="C68" s="4">
        <v>3634.3</v>
      </c>
      <c r="D68" s="4">
        <v>5777.52</v>
      </c>
      <c r="E68" s="4">
        <v>6958.93</v>
      </c>
      <c r="F68" s="4">
        <v>5864.97</v>
      </c>
      <c r="G68" s="4">
        <v>4099.7700000000004</v>
      </c>
      <c r="H68" s="4">
        <v>7150.33</v>
      </c>
      <c r="I68" s="4">
        <v>1927.48</v>
      </c>
      <c r="J68" s="4">
        <v>3925.82</v>
      </c>
      <c r="K68" s="4">
        <v>1703.02</v>
      </c>
      <c r="L68" s="4">
        <v>1592.72</v>
      </c>
      <c r="M68" s="4">
        <v>3644.49</v>
      </c>
      <c r="N68" s="4">
        <v>49703.03</v>
      </c>
      <c r="O68" s="2" t="s">
        <v>116</v>
      </c>
    </row>
    <row r="69" spans="1:15" ht="15.5">
      <c r="A69" s="2" t="s">
        <v>117</v>
      </c>
      <c r="B69" s="4">
        <v>1538.69</v>
      </c>
      <c r="C69" s="4">
        <v>2796</v>
      </c>
      <c r="D69" s="4">
        <v>-650</v>
      </c>
      <c r="E69" s="4">
        <v>5805.8</v>
      </c>
      <c r="F69" s="4">
        <v>1735</v>
      </c>
      <c r="G69" s="4">
        <v>4673</v>
      </c>
      <c r="H69" s="4">
        <v>2575</v>
      </c>
      <c r="I69" s="4">
        <v>300</v>
      </c>
      <c r="J69" s="4">
        <v>0</v>
      </c>
      <c r="K69" s="4">
        <v>1550</v>
      </c>
      <c r="L69" s="4">
        <v>1100</v>
      </c>
      <c r="M69" s="4">
        <v>1536.98</v>
      </c>
      <c r="N69" s="4">
        <v>22960.47</v>
      </c>
      <c r="O69" s="2" t="s">
        <v>118</v>
      </c>
    </row>
    <row r="70" spans="1:15" ht="15.5">
      <c r="A70" s="2" t="s">
        <v>119</v>
      </c>
      <c r="B70" s="4">
        <v>0</v>
      </c>
      <c r="C70" s="4">
        <v>0</v>
      </c>
      <c r="D70" s="4">
        <v>0</v>
      </c>
      <c r="E70" s="4">
        <v>2800</v>
      </c>
      <c r="F70" s="4">
        <v>0</v>
      </c>
      <c r="G70" s="4">
        <v>0</v>
      </c>
      <c r="H70" s="4">
        <v>2800</v>
      </c>
      <c r="I70" s="4">
        <v>0</v>
      </c>
      <c r="J70" s="4">
        <v>0</v>
      </c>
      <c r="K70" s="4">
        <v>3175</v>
      </c>
      <c r="L70" s="4">
        <v>0</v>
      </c>
      <c r="M70" s="4">
        <v>0</v>
      </c>
      <c r="N70" s="4">
        <v>8775</v>
      </c>
      <c r="O70" s="2" t="s">
        <v>120</v>
      </c>
    </row>
    <row r="71" spans="1:15" ht="15.5">
      <c r="A71" s="3" t="s">
        <v>121</v>
      </c>
      <c r="B71" s="6">
        <v>13972.2</v>
      </c>
      <c r="C71" s="6">
        <v>15389.42</v>
      </c>
      <c r="D71" s="6">
        <v>13139.09</v>
      </c>
      <c r="E71" s="6">
        <v>27989.24</v>
      </c>
      <c r="F71" s="6">
        <v>11780.44</v>
      </c>
      <c r="G71" s="6">
        <v>18221.45</v>
      </c>
      <c r="H71" s="6">
        <v>19773.54</v>
      </c>
      <c r="I71" s="6">
        <v>5666.76</v>
      </c>
      <c r="J71" s="6">
        <v>7230.49</v>
      </c>
      <c r="K71" s="6">
        <v>9223.51</v>
      </c>
      <c r="L71" s="6">
        <v>7884.67</v>
      </c>
      <c r="M71" s="6">
        <v>10966.8</v>
      </c>
      <c r="N71" s="6">
        <v>161237.60999999999</v>
      </c>
      <c r="O71" s="3"/>
    </row>
    <row r="72" spans="1:15" ht="15.5">
      <c r="A72" s="3" t="s">
        <v>122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3"/>
    </row>
    <row r="73" spans="1:15" ht="15.5">
      <c r="A73" s="2" t="s">
        <v>123</v>
      </c>
      <c r="B73" s="4">
        <v>675</v>
      </c>
      <c r="C73" s="4">
        <v>325</v>
      </c>
      <c r="D73" s="4">
        <v>400</v>
      </c>
      <c r="E73" s="4">
        <v>375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1775</v>
      </c>
      <c r="O73" s="2" t="s">
        <v>124</v>
      </c>
    </row>
    <row r="74" spans="1:15" ht="15.5">
      <c r="A74" s="2" t="s">
        <v>125</v>
      </c>
      <c r="B74" s="4">
        <v>400</v>
      </c>
      <c r="C74" s="4">
        <v>2000</v>
      </c>
      <c r="D74" s="4">
        <v>2400</v>
      </c>
      <c r="E74" s="4">
        <v>3600</v>
      </c>
      <c r="F74" s="4">
        <v>2000</v>
      </c>
      <c r="G74" s="4">
        <v>2037.5</v>
      </c>
      <c r="H74" s="4">
        <v>2000</v>
      </c>
      <c r="I74" s="4">
        <v>487.5</v>
      </c>
      <c r="J74" s="4">
        <v>450</v>
      </c>
      <c r="K74" s="4">
        <v>987.5</v>
      </c>
      <c r="L74" s="4">
        <v>2000</v>
      </c>
      <c r="M74" s="4">
        <v>1012.5</v>
      </c>
      <c r="N74" s="4">
        <v>19375</v>
      </c>
      <c r="O74" s="2" t="s">
        <v>126</v>
      </c>
    </row>
    <row r="75" spans="1:15" ht="15.5">
      <c r="A75" s="2" t="s">
        <v>127</v>
      </c>
      <c r="B75" s="4">
        <v>0</v>
      </c>
      <c r="C75" s="4">
        <v>0</v>
      </c>
      <c r="D75" s="4">
        <v>2307.91</v>
      </c>
      <c r="E75" s="4">
        <v>1911.79</v>
      </c>
      <c r="F75" s="4">
        <v>2065.16</v>
      </c>
      <c r="G75" s="4">
        <v>0</v>
      </c>
      <c r="H75" s="4">
        <v>2996.47</v>
      </c>
      <c r="I75" s="4">
        <v>1993.93</v>
      </c>
      <c r="J75" s="4">
        <v>0</v>
      </c>
      <c r="K75" s="4">
        <v>1102.99</v>
      </c>
      <c r="L75" s="4">
        <v>1088.02</v>
      </c>
      <c r="M75" s="4">
        <v>1271.3800000000001</v>
      </c>
      <c r="N75" s="4">
        <v>14737.65</v>
      </c>
      <c r="O75" s="2" t="s">
        <v>128</v>
      </c>
    </row>
    <row r="76" spans="1:15" ht="15.5">
      <c r="A76" s="3" t="s">
        <v>129</v>
      </c>
      <c r="B76" s="6">
        <v>1075</v>
      </c>
      <c r="C76" s="6">
        <v>2325</v>
      </c>
      <c r="D76" s="6">
        <v>5107.91</v>
      </c>
      <c r="E76" s="6">
        <v>5886.79</v>
      </c>
      <c r="F76" s="6">
        <v>4065.16</v>
      </c>
      <c r="G76" s="6">
        <v>2037.5</v>
      </c>
      <c r="H76" s="6">
        <v>4996.47</v>
      </c>
      <c r="I76" s="6">
        <v>2481.4299999999998</v>
      </c>
      <c r="J76" s="6">
        <v>450</v>
      </c>
      <c r="K76" s="6">
        <v>2090.4899999999998</v>
      </c>
      <c r="L76" s="6">
        <v>3088.02</v>
      </c>
      <c r="M76" s="6">
        <v>2283.88</v>
      </c>
      <c r="N76" s="6">
        <v>35887.65</v>
      </c>
      <c r="O76" s="3"/>
    </row>
    <row r="77" spans="1:15" ht="15.5">
      <c r="A77" s="3" t="s">
        <v>130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3"/>
    </row>
    <row r="78" spans="1:15" ht="15.5">
      <c r="A78" s="2" t="s">
        <v>131</v>
      </c>
      <c r="B78" s="4">
        <v>1176.8</v>
      </c>
      <c r="C78" s="4">
        <v>652.79999999999995</v>
      </c>
      <c r="D78" s="4">
        <v>2475.96</v>
      </c>
      <c r="E78" s="4">
        <v>3837.6</v>
      </c>
      <c r="F78" s="4">
        <v>1096.8</v>
      </c>
      <c r="G78" s="4">
        <v>1270.2</v>
      </c>
      <c r="H78" s="4">
        <v>2102.4</v>
      </c>
      <c r="I78" s="4">
        <v>1594.2</v>
      </c>
      <c r="J78" s="4">
        <v>852.6</v>
      </c>
      <c r="K78" s="4">
        <v>2395.8000000000002</v>
      </c>
      <c r="L78" s="4">
        <v>1864.6</v>
      </c>
      <c r="M78" s="4">
        <v>1943.8</v>
      </c>
      <c r="N78" s="4">
        <v>21263.56</v>
      </c>
      <c r="O78" s="2" t="s">
        <v>132</v>
      </c>
    </row>
    <row r="79" spans="1:15" ht="15.5">
      <c r="A79" s="2" t="s">
        <v>133</v>
      </c>
      <c r="B79" s="4">
        <v>146.13999999999999</v>
      </c>
      <c r="C79" s="4">
        <v>1356.43</v>
      </c>
      <c r="D79" s="4">
        <v>605.53</v>
      </c>
      <c r="E79" s="4">
        <v>437.89</v>
      </c>
      <c r="F79" s="4">
        <v>0</v>
      </c>
      <c r="G79" s="4">
        <v>297.83999999999997</v>
      </c>
      <c r="H79" s="4">
        <v>678.39</v>
      </c>
      <c r="I79" s="4">
        <v>100</v>
      </c>
      <c r="J79" s="4">
        <v>2188.92</v>
      </c>
      <c r="K79" s="4">
        <v>1248.3699999999999</v>
      </c>
      <c r="L79" s="4">
        <v>1529.73</v>
      </c>
      <c r="M79" s="4">
        <v>259.8</v>
      </c>
      <c r="N79" s="4">
        <v>8849.0400000000009</v>
      </c>
      <c r="O79" s="2" t="s">
        <v>134</v>
      </c>
    </row>
    <row r="80" spans="1:15" ht="15.5">
      <c r="A80" s="3" t="s">
        <v>135</v>
      </c>
      <c r="B80" s="6">
        <v>1322.94</v>
      </c>
      <c r="C80" s="6">
        <v>2009.23</v>
      </c>
      <c r="D80" s="6">
        <v>3081.49</v>
      </c>
      <c r="E80" s="6">
        <v>4275.49</v>
      </c>
      <c r="F80" s="6">
        <v>1096.8</v>
      </c>
      <c r="G80" s="6">
        <v>1568.04</v>
      </c>
      <c r="H80" s="6">
        <v>2780.79</v>
      </c>
      <c r="I80" s="6">
        <v>1694.2</v>
      </c>
      <c r="J80" s="6">
        <v>3041.52</v>
      </c>
      <c r="K80" s="6">
        <v>3644.17</v>
      </c>
      <c r="L80" s="6">
        <v>3394.33</v>
      </c>
      <c r="M80" s="6">
        <v>2203.6</v>
      </c>
      <c r="N80" s="6">
        <v>30112.6</v>
      </c>
      <c r="O80" s="3"/>
    </row>
    <row r="81" spans="1:15" ht="15.5">
      <c r="A81" s="3" t="s">
        <v>136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3"/>
    </row>
    <row r="82" spans="1:15" ht="15.5">
      <c r="A82" s="2" t="s">
        <v>137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1074.08</v>
      </c>
      <c r="H82" s="4">
        <v>1343.48</v>
      </c>
      <c r="I82" s="4">
        <v>1368.96</v>
      </c>
      <c r="J82" s="4">
        <v>1178.82</v>
      </c>
      <c r="K82" s="4">
        <v>1075.27</v>
      </c>
      <c r="L82" s="4">
        <v>1097.46</v>
      </c>
      <c r="M82" s="4">
        <v>2122.6799999999998</v>
      </c>
      <c r="N82" s="4">
        <v>9260.75</v>
      </c>
      <c r="O82" s="2" t="s">
        <v>138</v>
      </c>
    </row>
    <row r="83" spans="1:15" ht="15.5">
      <c r="A83" s="2" t="s">
        <v>139</v>
      </c>
      <c r="B83" s="4">
        <v>5329.43</v>
      </c>
      <c r="C83" s="4">
        <v>274.77999999999997</v>
      </c>
      <c r="D83" s="4">
        <v>1207.8800000000001</v>
      </c>
      <c r="E83" s="4">
        <v>8448.99</v>
      </c>
      <c r="F83" s="4">
        <v>9007.85</v>
      </c>
      <c r="G83" s="4">
        <v>9338.2800000000007</v>
      </c>
      <c r="H83" s="4">
        <v>8834.86</v>
      </c>
      <c r="I83" s="4">
        <v>5875.11</v>
      </c>
      <c r="J83" s="4">
        <v>1639.69</v>
      </c>
      <c r="K83" s="4">
        <v>7833.94</v>
      </c>
      <c r="L83" s="4">
        <v>4676.03</v>
      </c>
      <c r="M83" s="4">
        <v>11772.27</v>
      </c>
      <c r="N83" s="4">
        <v>74239.11</v>
      </c>
      <c r="O83" s="2" t="s">
        <v>140</v>
      </c>
    </row>
    <row r="84" spans="1:15" ht="15.5">
      <c r="A84" s="2" t="s">
        <v>141</v>
      </c>
      <c r="B84" s="4">
        <v>0</v>
      </c>
      <c r="C84" s="4">
        <v>0</v>
      </c>
      <c r="D84" s="4">
        <v>500.63</v>
      </c>
      <c r="E84" s="4">
        <v>863.56</v>
      </c>
      <c r="F84" s="4">
        <v>1565.74</v>
      </c>
      <c r="G84" s="4">
        <v>0</v>
      </c>
      <c r="H84" s="4">
        <v>740.42</v>
      </c>
      <c r="I84" s="4">
        <v>1307.99</v>
      </c>
      <c r="J84" s="4">
        <v>3240.85</v>
      </c>
      <c r="K84" s="4">
        <v>3543.86</v>
      </c>
      <c r="L84" s="4">
        <v>3610.38</v>
      </c>
      <c r="M84" s="4">
        <v>1286.1400000000001</v>
      </c>
      <c r="N84" s="4">
        <v>16659.57</v>
      </c>
      <c r="O84" s="2" t="s">
        <v>142</v>
      </c>
    </row>
    <row r="85" spans="1:15" ht="15.5">
      <c r="A85" s="2" t="s">
        <v>143</v>
      </c>
      <c r="B85" s="4">
        <v>2544.5</v>
      </c>
      <c r="C85" s="4">
        <v>1045.76</v>
      </c>
      <c r="D85" s="4">
        <v>1445.05</v>
      </c>
      <c r="E85" s="4">
        <v>293.7</v>
      </c>
      <c r="F85" s="4">
        <v>1250.58</v>
      </c>
      <c r="G85" s="4">
        <v>0</v>
      </c>
      <c r="H85" s="4">
        <v>190.14</v>
      </c>
      <c r="I85" s="4">
        <v>0</v>
      </c>
      <c r="J85" s="4">
        <v>0</v>
      </c>
      <c r="K85" s="4">
        <v>190.14</v>
      </c>
      <c r="L85" s="4">
        <v>190.14</v>
      </c>
      <c r="M85" s="4">
        <v>190.14</v>
      </c>
      <c r="N85" s="4">
        <v>7340.15</v>
      </c>
      <c r="O85" s="2" t="s">
        <v>144</v>
      </c>
    </row>
    <row r="86" spans="1:15" ht="15.5">
      <c r="A86" s="3" t="s">
        <v>145</v>
      </c>
      <c r="B86" s="6">
        <v>7873.93</v>
      </c>
      <c r="C86" s="6">
        <v>1320.54</v>
      </c>
      <c r="D86" s="6">
        <v>3153.56</v>
      </c>
      <c r="E86" s="6">
        <v>9606.25</v>
      </c>
      <c r="F86" s="6">
        <v>11824.17</v>
      </c>
      <c r="G86" s="6">
        <v>10412.36</v>
      </c>
      <c r="H86" s="6">
        <v>11108.9</v>
      </c>
      <c r="I86" s="6">
        <v>8552.06</v>
      </c>
      <c r="J86" s="6">
        <v>6059.36</v>
      </c>
      <c r="K86" s="6">
        <v>12643.21</v>
      </c>
      <c r="L86" s="6">
        <v>9574.01</v>
      </c>
      <c r="M86" s="6">
        <v>15371.23</v>
      </c>
      <c r="N86" s="6">
        <v>107499.58</v>
      </c>
      <c r="O86" s="3"/>
    </row>
    <row r="87" spans="1:15" ht="15.5">
      <c r="A87" s="3" t="s">
        <v>146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3"/>
    </row>
    <row r="88" spans="1:15" ht="15.5">
      <c r="A88" s="2" t="s">
        <v>147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61639.03</v>
      </c>
      <c r="J88" s="4">
        <v>0</v>
      </c>
      <c r="K88" s="4">
        <v>0</v>
      </c>
      <c r="L88" s="4">
        <v>0</v>
      </c>
      <c r="M88" s="4">
        <v>0</v>
      </c>
      <c r="N88" s="4">
        <v>61639.03</v>
      </c>
      <c r="O88" s="2" t="s">
        <v>148</v>
      </c>
    </row>
    <row r="89" spans="1:15" ht="15.5">
      <c r="A89" s="3" t="s">
        <v>149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61639.03</v>
      </c>
      <c r="J89" s="6">
        <v>0</v>
      </c>
      <c r="K89" s="6">
        <v>0</v>
      </c>
      <c r="L89" s="6">
        <v>0</v>
      </c>
      <c r="M89" s="6">
        <v>0</v>
      </c>
      <c r="N89" s="6">
        <v>61639.03</v>
      </c>
      <c r="O89" s="3"/>
    </row>
    <row r="90" spans="1:15" ht="15.5">
      <c r="A90" s="3" t="s">
        <v>150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3"/>
    </row>
    <row r="91" spans="1:15" ht="15.5">
      <c r="A91" s="2" t="s">
        <v>151</v>
      </c>
      <c r="B91" s="4">
        <v>7581.72</v>
      </c>
      <c r="C91" s="4">
        <v>1248.6600000000001</v>
      </c>
      <c r="D91" s="4">
        <v>6065.87</v>
      </c>
      <c r="E91" s="4">
        <v>6065.87</v>
      </c>
      <c r="F91" s="4">
        <v>6065.87</v>
      </c>
      <c r="G91" s="4">
        <v>20957.8</v>
      </c>
      <c r="H91" s="4">
        <v>6065.87</v>
      </c>
      <c r="I91" s="4">
        <v>6065.87</v>
      </c>
      <c r="J91" s="4">
        <v>12131.74</v>
      </c>
      <c r="K91" s="4">
        <v>6724.87</v>
      </c>
      <c r="L91" s="4">
        <v>6065.87</v>
      </c>
      <c r="M91" s="4">
        <v>6065.87</v>
      </c>
      <c r="N91" s="4">
        <v>91105.88</v>
      </c>
      <c r="O91" s="2" t="s">
        <v>152</v>
      </c>
    </row>
    <row r="92" spans="1:15" ht="15.5">
      <c r="A92" s="3" t="s">
        <v>153</v>
      </c>
      <c r="B92" s="6">
        <v>7581.72</v>
      </c>
      <c r="C92" s="6">
        <v>1248.6600000000001</v>
      </c>
      <c r="D92" s="6">
        <v>6065.87</v>
      </c>
      <c r="E92" s="6">
        <v>6065.87</v>
      </c>
      <c r="F92" s="6">
        <v>6065.87</v>
      </c>
      <c r="G92" s="6">
        <v>20957.8</v>
      </c>
      <c r="H92" s="6">
        <v>6065.87</v>
      </c>
      <c r="I92" s="6">
        <v>6065.87</v>
      </c>
      <c r="J92" s="6">
        <v>12131.74</v>
      </c>
      <c r="K92" s="6">
        <v>6724.87</v>
      </c>
      <c r="L92" s="6">
        <v>6065.87</v>
      </c>
      <c r="M92" s="6">
        <v>6065.87</v>
      </c>
      <c r="N92" s="6">
        <v>91105.88</v>
      </c>
      <c r="O92" s="3"/>
    </row>
    <row r="93" spans="1:15" ht="15.5">
      <c r="A93" s="3" t="s">
        <v>154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3"/>
    </row>
    <row r="94" spans="1:15" ht="15.5">
      <c r="A94" s="2" t="s">
        <v>155</v>
      </c>
      <c r="B94" s="4">
        <v>0</v>
      </c>
      <c r="C94" s="4">
        <v>0</v>
      </c>
      <c r="D94" s="4">
        <v>0</v>
      </c>
      <c r="E94" s="4">
        <v>0</v>
      </c>
      <c r="F94" s="4">
        <v>4333.33</v>
      </c>
      <c r="G94" s="4">
        <v>4333.33</v>
      </c>
      <c r="H94" s="4">
        <v>4333.33</v>
      </c>
      <c r="I94" s="4">
        <v>4333.33</v>
      </c>
      <c r="J94" s="4">
        <v>4333.33</v>
      </c>
      <c r="K94" s="4">
        <v>4333.33</v>
      </c>
      <c r="L94" s="4">
        <v>4333.33</v>
      </c>
      <c r="M94" s="4">
        <v>4333.33</v>
      </c>
      <c r="N94" s="4">
        <v>34666.639999999999</v>
      </c>
      <c r="O94" s="2" t="s">
        <v>156</v>
      </c>
    </row>
    <row r="95" spans="1:15" ht="15.5">
      <c r="A95" s="2" t="s">
        <v>157</v>
      </c>
      <c r="B95" s="4">
        <v>4325</v>
      </c>
      <c r="C95" s="4">
        <v>4325</v>
      </c>
      <c r="D95" s="4">
        <v>4325</v>
      </c>
      <c r="E95" s="4">
        <v>4325</v>
      </c>
      <c r="F95" s="4">
        <v>4325</v>
      </c>
      <c r="G95" s="4">
        <v>4325</v>
      </c>
      <c r="H95" s="4">
        <v>4325</v>
      </c>
      <c r="I95" s="4">
        <v>4325</v>
      </c>
      <c r="J95" s="4">
        <v>4325</v>
      </c>
      <c r="K95" s="4">
        <v>4325</v>
      </c>
      <c r="L95" s="4">
        <v>4325</v>
      </c>
      <c r="M95" s="4">
        <v>4325</v>
      </c>
      <c r="N95" s="4">
        <v>51900</v>
      </c>
      <c r="O95" s="2" t="s">
        <v>158</v>
      </c>
    </row>
    <row r="96" spans="1:15" ht="15.5">
      <c r="A96" s="2" t="s">
        <v>159</v>
      </c>
      <c r="B96" s="4">
        <v>3114</v>
      </c>
      <c r="C96" s="4">
        <v>3114</v>
      </c>
      <c r="D96" s="4">
        <v>3114</v>
      </c>
      <c r="E96" s="4">
        <v>3114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12456</v>
      </c>
      <c r="O96" s="2" t="s">
        <v>160</v>
      </c>
    </row>
    <row r="97" spans="1:15" ht="15.5">
      <c r="A97" s="3" t="s">
        <v>161</v>
      </c>
      <c r="B97" s="6">
        <v>7439</v>
      </c>
      <c r="C97" s="6">
        <v>7439</v>
      </c>
      <c r="D97" s="6">
        <v>7439</v>
      </c>
      <c r="E97" s="6">
        <v>7439</v>
      </c>
      <c r="F97" s="6">
        <v>8658.33</v>
      </c>
      <c r="G97" s="6">
        <v>8658.33</v>
      </c>
      <c r="H97" s="6">
        <v>8658.33</v>
      </c>
      <c r="I97" s="6">
        <v>8658.33</v>
      </c>
      <c r="J97" s="6">
        <v>8658.33</v>
      </c>
      <c r="K97" s="6">
        <v>8658.33</v>
      </c>
      <c r="L97" s="6">
        <v>8658.33</v>
      </c>
      <c r="M97" s="6">
        <v>8658.33</v>
      </c>
      <c r="N97" s="6">
        <v>99022.64</v>
      </c>
      <c r="O97" s="3"/>
    </row>
    <row r="98" spans="1:15" ht="15.5">
      <c r="A98" s="3" t="s">
        <v>162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3"/>
    </row>
    <row r="99" spans="1:15" ht="15.5">
      <c r="A99" s="2" t="s">
        <v>163</v>
      </c>
      <c r="B99" s="4">
        <v>0</v>
      </c>
      <c r="C99" s="4">
        <v>94.18</v>
      </c>
      <c r="D99" s="4">
        <v>53.7</v>
      </c>
      <c r="E99" s="4">
        <v>54.45</v>
      </c>
      <c r="F99" s="4">
        <v>0</v>
      </c>
      <c r="G99" s="4">
        <v>0</v>
      </c>
      <c r="H99" s="4">
        <v>0</v>
      </c>
      <c r="I99" s="4">
        <v>-850</v>
      </c>
      <c r="J99" s="4">
        <v>0</v>
      </c>
      <c r="K99" s="4">
        <v>0</v>
      </c>
      <c r="L99" s="4">
        <v>0</v>
      </c>
      <c r="M99" s="4">
        <v>0</v>
      </c>
      <c r="N99" s="4">
        <v>-647.66999999999996</v>
      </c>
      <c r="O99" s="2" t="s">
        <v>164</v>
      </c>
    </row>
    <row r="100" spans="1:15" ht="15.5">
      <c r="A100" s="2" t="s">
        <v>165</v>
      </c>
      <c r="B100" s="4">
        <v>154</v>
      </c>
      <c r="C100" s="4">
        <v>1024</v>
      </c>
      <c r="D100" s="4">
        <v>154</v>
      </c>
      <c r="E100" s="4">
        <v>921</v>
      </c>
      <c r="F100" s="4">
        <v>2248</v>
      </c>
      <c r="G100" s="4">
        <v>-408</v>
      </c>
      <c r="H100" s="4">
        <v>767</v>
      </c>
      <c r="I100" s="4">
        <v>408</v>
      </c>
      <c r="J100" s="4">
        <v>-254</v>
      </c>
      <c r="K100" s="4">
        <v>154</v>
      </c>
      <c r="L100" s="4">
        <v>0</v>
      </c>
      <c r="M100" s="4">
        <v>254</v>
      </c>
      <c r="N100" s="4">
        <v>5422</v>
      </c>
      <c r="O100" s="2" t="s">
        <v>166</v>
      </c>
    </row>
    <row r="101" spans="1:15" ht="15.5">
      <c r="A101" s="2" t="s">
        <v>167</v>
      </c>
      <c r="B101" s="4">
        <v>0</v>
      </c>
      <c r="C101" s="4">
        <v>0</v>
      </c>
      <c r="D101" s="4">
        <v>0</v>
      </c>
      <c r="E101" s="4">
        <v>151.86000000000001</v>
      </c>
      <c r="F101" s="4">
        <v>117.26</v>
      </c>
      <c r="G101" s="4">
        <v>55.33</v>
      </c>
      <c r="H101" s="4">
        <v>51.89</v>
      </c>
      <c r="I101" s="4">
        <v>105.77</v>
      </c>
      <c r="J101" s="4">
        <v>65.97</v>
      </c>
      <c r="K101" s="4">
        <v>0</v>
      </c>
      <c r="L101" s="4">
        <v>429.66</v>
      </c>
      <c r="M101" s="4">
        <v>97.23</v>
      </c>
      <c r="N101" s="4">
        <v>1074.97</v>
      </c>
      <c r="O101" s="2" t="s">
        <v>168</v>
      </c>
    </row>
    <row r="102" spans="1:15" ht="15.5">
      <c r="A102" s="2" t="s">
        <v>169</v>
      </c>
      <c r="B102" s="4">
        <v>0</v>
      </c>
      <c r="C102" s="4">
        <v>0</v>
      </c>
      <c r="D102" s="4">
        <v>0</v>
      </c>
      <c r="E102" s="4">
        <v>39.479999999999997</v>
      </c>
      <c r="F102" s="4">
        <v>39.479999999999997</v>
      </c>
      <c r="G102" s="4">
        <v>39.479999999999997</v>
      </c>
      <c r="H102" s="4">
        <v>0</v>
      </c>
      <c r="I102" s="4">
        <v>78.84</v>
      </c>
      <c r="J102" s="4">
        <v>39.36</v>
      </c>
      <c r="K102" s="4">
        <v>39.36</v>
      </c>
      <c r="L102" s="4">
        <v>39.36</v>
      </c>
      <c r="M102" s="4">
        <v>39.36</v>
      </c>
      <c r="N102" s="4">
        <v>354.72</v>
      </c>
      <c r="O102" s="2" t="s">
        <v>170</v>
      </c>
    </row>
    <row r="103" spans="1:15" ht="15.5">
      <c r="A103" s="3" t="s">
        <v>171</v>
      </c>
      <c r="B103" s="6">
        <v>154</v>
      </c>
      <c r="C103" s="6">
        <v>1118.18</v>
      </c>
      <c r="D103" s="6">
        <v>207.7</v>
      </c>
      <c r="E103" s="6">
        <v>1166.79</v>
      </c>
      <c r="F103" s="6">
        <v>2404.7399999999998</v>
      </c>
      <c r="G103" s="6">
        <v>-313.19</v>
      </c>
      <c r="H103" s="6">
        <v>818.89</v>
      </c>
      <c r="I103" s="6">
        <v>-257.39</v>
      </c>
      <c r="J103" s="6">
        <v>-148.66999999999999</v>
      </c>
      <c r="K103" s="6">
        <v>193.36</v>
      </c>
      <c r="L103" s="6">
        <v>469.02</v>
      </c>
      <c r="M103" s="6">
        <v>390.59</v>
      </c>
      <c r="N103" s="6">
        <v>6204.02</v>
      </c>
      <c r="O103" s="3"/>
    </row>
    <row r="104" spans="1:15" ht="15.5">
      <c r="A104" s="3" t="s">
        <v>172</v>
      </c>
      <c r="B104" s="6">
        <v>42391.99</v>
      </c>
      <c r="C104" s="6">
        <v>34308.6</v>
      </c>
      <c r="D104" s="6">
        <v>41726.410000000003</v>
      </c>
      <c r="E104" s="6">
        <v>66277.22</v>
      </c>
      <c r="F104" s="6">
        <v>49330.23</v>
      </c>
      <c r="G104" s="6">
        <v>64657.49</v>
      </c>
      <c r="H104" s="6">
        <v>57440.18</v>
      </c>
      <c r="I104" s="6">
        <v>97531.25</v>
      </c>
      <c r="J104" s="6">
        <v>40497.589999999997</v>
      </c>
      <c r="K104" s="6">
        <v>45981.51</v>
      </c>
      <c r="L104" s="6">
        <v>42800.41</v>
      </c>
      <c r="M104" s="6">
        <v>48931.23</v>
      </c>
      <c r="N104" s="6">
        <v>631874.11</v>
      </c>
      <c r="O104" s="3"/>
    </row>
    <row r="105" spans="1:15" ht="15.5">
      <c r="A105" s="2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"/>
    </row>
    <row r="106" spans="1:15" ht="15.5">
      <c r="A106" s="3" t="s">
        <v>173</v>
      </c>
      <c r="B106" s="5">
        <v>46788.27</v>
      </c>
      <c r="C106" s="5">
        <v>57993.87</v>
      </c>
      <c r="D106" s="5">
        <v>49373.32</v>
      </c>
      <c r="E106" s="5">
        <v>34157.42</v>
      </c>
      <c r="F106" s="5">
        <v>48048.87</v>
      </c>
      <c r="G106" s="5">
        <v>31334.27</v>
      </c>
      <c r="H106" s="5">
        <v>28012.85</v>
      </c>
      <c r="I106" s="5">
        <v>-6179.96</v>
      </c>
      <c r="J106" s="5">
        <v>42107.48</v>
      </c>
      <c r="K106" s="5">
        <v>42050.79</v>
      </c>
      <c r="L106" s="5">
        <v>41863.35</v>
      </c>
      <c r="M106" s="5">
        <v>36023.25</v>
      </c>
      <c r="N106" s="5">
        <v>451573.78</v>
      </c>
      <c r="O106" s="3"/>
    </row>
    <row r="107" spans="1:15" ht="15.5">
      <c r="A107" s="2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"/>
    </row>
    <row r="108" spans="1:15" ht="15.5">
      <c r="A108" s="3" t="s">
        <v>174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3"/>
    </row>
    <row r="109" spans="1:15" ht="15.5">
      <c r="A109" s="3" t="s">
        <v>175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3"/>
    </row>
    <row r="110" spans="1:15" ht="15.5">
      <c r="A110" s="3" t="s">
        <v>176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3"/>
    </row>
    <row r="111" spans="1:15" ht="15.5">
      <c r="A111" s="2" t="s">
        <v>177</v>
      </c>
      <c r="B111" s="4">
        <v>37251.39</v>
      </c>
      <c r="C111" s="4">
        <v>37251.39</v>
      </c>
      <c r="D111" s="4">
        <v>37251.39</v>
      </c>
      <c r="E111" s="4">
        <v>38182.68</v>
      </c>
      <c r="F111" s="4">
        <v>38182.68</v>
      </c>
      <c r="G111" s="4">
        <v>38182.68</v>
      </c>
      <c r="H111" s="4">
        <v>38182.68</v>
      </c>
      <c r="I111" s="4">
        <v>38182.68</v>
      </c>
      <c r="J111" s="4">
        <v>38182.68</v>
      </c>
      <c r="K111" s="4">
        <v>0</v>
      </c>
      <c r="L111" s="4">
        <v>76365.36</v>
      </c>
      <c r="M111" s="4">
        <v>38182.68</v>
      </c>
      <c r="N111" s="4">
        <v>455398.29</v>
      </c>
      <c r="O111" s="2" t="s">
        <v>178</v>
      </c>
    </row>
    <row r="112" spans="1:15" ht="15.5">
      <c r="A112" s="3" t="s">
        <v>179</v>
      </c>
      <c r="B112" s="6">
        <v>37251.39</v>
      </c>
      <c r="C112" s="6">
        <v>37251.39</v>
      </c>
      <c r="D112" s="6">
        <v>37251.39</v>
      </c>
      <c r="E112" s="6">
        <v>38182.68</v>
      </c>
      <c r="F112" s="6">
        <v>38182.68</v>
      </c>
      <c r="G112" s="6">
        <v>38182.68</v>
      </c>
      <c r="H112" s="6">
        <v>38182.68</v>
      </c>
      <c r="I112" s="6">
        <v>38182.68</v>
      </c>
      <c r="J112" s="6">
        <v>38182.68</v>
      </c>
      <c r="K112" s="6">
        <v>0</v>
      </c>
      <c r="L112" s="6">
        <v>76365.36</v>
      </c>
      <c r="M112" s="6">
        <v>38182.68</v>
      </c>
      <c r="N112" s="6">
        <v>455398.29</v>
      </c>
      <c r="O112" s="3"/>
    </row>
    <row r="113" spans="1:15" ht="15.5">
      <c r="A113" s="3" t="s">
        <v>180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3"/>
    </row>
    <row r="114" spans="1:15" ht="15.5">
      <c r="A114" s="2" t="s">
        <v>181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0.22</v>
      </c>
      <c r="M114" s="4">
        <v>7.48</v>
      </c>
      <c r="N114" s="4">
        <v>7.7</v>
      </c>
      <c r="O114" s="2" t="s">
        <v>182</v>
      </c>
    </row>
    <row r="115" spans="1:15" ht="15.5">
      <c r="A115" s="3" t="s">
        <v>183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0.22</v>
      </c>
      <c r="M115" s="6">
        <v>7.48</v>
      </c>
      <c r="N115" s="6">
        <v>7.7</v>
      </c>
      <c r="O115" s="3"/>
    </row>
    <row r="116" spans="1:15" ht="15.5">
      <c r="A116" s="3" t="s">
        <v>184</v>
      </c>
      <c r="B116" s="6">
        <v>37251.39</v>
      </c>
      <c r="C116" s="6">
        <v>37251.39</v>
      </c>
      <c r="D116" s="6">
        <v>37251.39</v>
      </c>
      <c r="E116" s="6">
        <v>38182.68</v>
      </c>
      <c r="F116" s="6">
        <v>38182.68</v>
      </c>
      <c r="G116" s="6">
        <v>38182.68</v>
      </c>
      <c r="H116" s="6">
        <v>38182.68</v>
      </c>
      <c r="I116" s="6">
        <v>38182.68</v>
      </c>
      <c r="J116" s="6">
        <v>38182.68</v>
      </c>
      <c r="K116" s="6">
        <v>0</v>
      </c>
      <c r="L116" s="6">
        <v>76365.58</v>
      </c>
      <c r="M116" s="6">
        <v>38190.160000000003</v>
      </c>
      <c r="N116" s="6">
        <v>455405.99</v>
      </c>
      <c r="O116" s="3"/>
    </row>
    <row r="117" spans="1:15" ht="15.5">
      <c r="A117" s="2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"/>
    </row>
    <row r="118" spans="1:15" ht="15.5">
      <c r="A118" s="3" t="s">
        <v>185</v>
      </c>
      <c r="B118" s="6">
        <v>-37251.39</v>
      </c>
      <c r="C118" s="6">
        <v>-37251.39</v>
      </c>
      <c r="D118" s="6">
        <v>-37251.39</v>
      </c>
      <c r="E118" s="6">
        <v>-38182.68</v>
      </c>
      <c r="F118" s="6">
        <v>-38182.68</v>
      </c>
      <c r="G118" s="6">
        <v>-38182.68</v>
      </c>
      <c r="H118" s="6">
        <v>-38182.68</v>
      </c>
      <c r="I118" s="6">
        <v>-38182.68</v>
      </c>
      <c r="J118" s="6">
        <v>-38182.68</v>
      </c>
      <c r="K118" s="6">
        <v>0</v>
      </c>
      <c r="L118" s="6">
        <v>-76365.58</v>
      </c>
      <c r="M118" s="6">
        <v>-38190.160000000003</v>
      </c>
      <c r="N118" s="6">
        <v>-455405.99</v>
      </c>
      <c r="O118" s="3"/>
    </row>
    <row r="119" spans="1:15" ht="15.5">
      <c r="A119" s="2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"/>
    </row>
    <row r="120" spans="1:15" ht="15.5">
      <c r="A120" s="2" t="s">
        <v>186</v>
      </c>
      <c r="B120" s="4">
        <v>89180.26</v>
      </c>
      <c r="C120" s="4">
        <v>92302.47</v>
      </c>
      <c r="D120" s="4">
        <v>91099.73</v>
      </c>
      <c r="E120" s="4">
        <v>100434.64</v>
      </c>
      <c r="F120" s="4">
        <v>97379.1</v>
      </c>
      <c r="G120" s="4">
        <v>95991.76</v>
      </c>
      <c r="H120" s="4">
        <v>85453.03</v>
      </c>
      <c r="I120" s="4">
        <v>91351.29</v>
      </c>
      <c r="J120" s="4">
        <v>82605.070000000007</v>
      </c>
      <c r="K120" s="4">
        <v>88032.3</v>
      </c>
      <c r="L120" s="4">
        <v>84663.76</v>
      </c>
      <c r="M120" s="4">
        <v>84954.48</v>
      </c>
      <c r="N120" s="4">
        <v>1083447.8899999999</v>
      </c>
      <c r="O120" s="2"/>
    </row>
    <row r="121" spans="1:15" ht="15.5">
      <c r="A121" s="2" t="s">
        <v>187</v>
      </c>
      <c r="B121" s="4">
        <v>79643.38</v>
      </c>
      <c r="C121" s="4">
        <v>71559.990000000005</v>
      </c>
      <c r="D121" s="4">
        <v>78977.8</v>
      </c>
      <c r="E121" s="4">
        <v>104459.9</v>
      </c>
      <c r="F121" s="4">
        <v>87512.91</v>
      </c>
      <c r="G121" s="4">
        <v>102840.17</v>
      </c>
      <c r="H121" s="4">
        <v>95622.86</v>
      </c>
      <c r="I121" s="4">
        <v>135713.93</v>
      </c>
      <c r="J121" s="4">
        <v>78680.27</v>
      </c>
      <c r="K121" s="4">
        <v>45981.51</v>
      </c>
      <c r="L121" s="4">
        <v>119165.99</v>
      </c>
      <c r="M121" s="4">
        <v>87121.39</v>
      </c>
      <c r="N121" s="4">
        <v>1087280.1000000001</v>
      </c>
      <c r="O121" s="2"/>
    </row>
    <row r="122" spans="1:15" ht="15.5">
      <c r="A122" s="2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"/>
    </row>
    <row r="123" spans="1:15" ht="15.5">
      <c r="A123" s="3" t="s">
        <v>188</v>
      </c>
      <c r="B123" s="7">
        <v>9536.8799999999992</v>
      </c>
      <c r="C123" s="7">
        <v>20742.48</v>
      </c>
      <c r="D123" s="7">
        <v>12121.93</v>
      </c>
      <c r="E123" s="7">
        <v>-4025.26</v>
      </c>
      <c r="F123" s="7">
        <v>9866.19</v>
      </c>
      <c r="G123" s="7">
        <v>-6848.41</v>
      </c>
      <c r="H123" s="7">
        <v>-10169.83</v>
      </c>
      <c r="I123" s="7">
        <v>-44362.64</v>
      </c>
      <c r="J123" s="7">
        <v>3924.8</v>
      </c>
      <c r="K123" s="7">
        <v>42050.79</v>
      </c>
      <c r="L123" s="7">
        <v>-34502.230000000003</v>
      </c>
      <c r="M123" s="7">
        <v>-2166.91</v>
      </c>
      <c r="N123" s="7">
        <v>-3832.21</v>
      </c>
      <c r="O123" s="3"/>
    </row>
  </sheetData>
  <mergeCells count="9">
    <mergeCell ref="A1:O1"/>
    <mergeCell ref="A2:O2"/>
    <mergeCell ref="A8:O8"/>
    <mergeCell ref="A9:O9"/>
    <mergeCell ref="A3:O3"/>
    <mergeCell ref="A4:O4"/>
    <mergeCell ref="A5:O5"/>
    <mergeCell ref="A6:O6"/>
    <mergeCell ref="A7:O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C816F-6B4B-47AA-8FCD-89A906597FA4}">
  <dimension ref="A1:M121"/>
  <sheetViews>
    <sheetView showWhiteSpace="0" workbookViewId="0">
      <selection activeCell="C27" sqref="C27"/>
    </sheetView>
  </sheetViews>
  <sheetFormatPr defaultRowHeight="14"/>
  <cols>
    <col min="1" max="1" width="17.33203125" bestFit="1" customWidth="1"/>
    <col min="2" max="2" width="15.58203125" bestFit="1" customWidth="1"/>
    <col min="3" max="3" width="33.58203125" bestFit="1" customWidth="1"/>
    <col min="4" max="4" width="30.58203125" bestFit="1" customWidth="1"/>
    <col min="5" max="5" width="14.4140625" bestFit="1" customWidth="1"/>
    <col min="6" max="6" width="27.33203125" bestFit="1" customWidth="1"/>
    <col min="7" max="7" width="18" bestFit="1" customWidth="1"/>
    <col min="8" max="8" width="19.5" bestFit="1" customWidth="1"/>
    <col min="9" max="9" width="25.33203125" bestFit="1" customWidth="1"/>
    <col min="10" max="10" width="21.4140625" bestFit="1" customWidth="1"/>
    <col min="11" max="11" width="19.5" bestFit="1" customWidth="1"/>
    <col min="12" max="12" width="21.4140625" bestFit="1" customWidth="1"/>
    <col min="13" max="13" width="39" bestFit="1" customWidth="1"/>
  </cols>
  <sheetData>
    <row r="1" spans="1:13" ht="23">
      <c r="A1" s="18" t="s">
        <v>434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16.5">
      <c r="A3" s="17" t="s">
        <v>433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6.5">
      <c r="A4" s="17" t="s">
        <v>432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1:13" ht="16.5">
      <c r="A6" s="1" t="s">
        <v>431</v>
      </c>
      <c r="B6" s="1" t="s">
        <v>430</v>
      </c>
      <c r="C6" s="1" t="s">
        <v>429</v>
      </c>
      <c r="D6" s="1" t="s">
        <v>428</v>
      </c>
      <c r="E6" s="1" t="s">
        <v>427</v>
      </c>
      <c r="F6" s="1" t="s">
        <v>426</v>
      </c>
      <c r="G6" s="1" t="s">
        <v>425</v>
      </c>
      <c r="H6" s="1" t="s">
        <v>424</v>
      </c>
      <c r="I6" s="1" t="s">
        <v>423</v>
      </c>
      <c r="J6" s="1" t="s">
        <v>422</v>
      </c>
      <c r="K6" s="1" t="s">
        <v>421</v>
      </c>
      <c r="L6" s="1" t="s">
        <v>420</v>
      </c>
      <c r="M6" s="1" t="s">
        <v>419</v>
      </c>
    </row>
    <row r="7" spans="1:13" ht="15.5">
      <c r="A7" s="2" t="s">
        <v>418</v>
      </c>
      <c r="B7" s="2" t="s">
        <v>241</v>
      </c>
      <c r="C7" s="2" t="s">
        <v>417</v>
      </c>
      <c r="D7" s="2" t="s">
        <v>192</v>
      </c>
      <c r="E7" s="16">
        <v>1184</v>
      </c>
      <c r="F7" s="14">
        <v>950</v>
      </c>
      <c r="G7" s="14">
        <v>1225</v>
      </c>
      <c r="H7" s="14">
        <v>0</v>
      </c>
      <c r="I7" s="15">
        <v>46066</v>
      </c>
      <c r="J7" s="15">
        <v>46418</v>
      </c>
      <c r="K7" s="15">
        <v>46066</v>
      </c>
      <c r="L7" s="15"/>
      <c r="M7" s="14">
        <v>1.03</v>
      </c>
    </row>
    <row r="8" spans="1:13" ht="15.5">
      <c r="A8" s="2" t="s">
        <v>416</v>
      </c>
      <c r="B8" s="2" t="s">
        <v>336</v>
      </c>
      <c r="C8" s="2" t="s">
        <v>415</v>
      </c>
      <c r="D8" s="2" t="s">
        <v>192</v>
      </c>
      <c r="E8" s="16">
        <v>784</v>
      </c>
      <c r="F8" s="14">
        <v>760</v>
      </c>
      <c r="G8" s="14">
        <v>952</v>
      </c>
      <c r="H8" s="14">
        <v>0</v>
      </c>
      <c r="I8" s="15">
        <v>45476</v>
      </c>
      <c r="J8" s="15">
        <v>46234</v>
      </c>
      <c r="K8" s="15">
        <v>45476</v>
      </c>
      <c r="L8" s="15"/>
      <c r="M8" s="14">
        <v>1.21</v>
      </c>
    </row>
    <row r="9" spans="1:13" ht="15.5">
      <c r="A9" s="2" t="s">
        <v>414</v>
      </c>
      <c r="B9" s="2" t="s">
        <v>341</v>
      </c>
      <c r="C9" s="2" t="s">
        <v>413</v>
      </c>
      <c r="D9" s="2" t="s">
        <v>192</v>
      </c>
      <c r="E9" s="16">
        <v>400</v>
      </c>
      <c r="F9" s="14">
        <v>625</v>
      </c>
      <c r="G9" s="14">
        <v>650</v>
      </c>
      <c r="H9" s="14">
        <v>210</v>
      </c>
      <c r="I9" s="15">
        <v>45425</v>
      </c>
      <c r="J9" s="15">
        <v>46142</v>
      </c>
      <c r="K9" s="15">
        <v>45425</v>
      </c>
      <c r="L9" s="15"/>
      <c r="M9" s="14">
        <v>1.63</v>
      </c>
    </row>
    <row r="10" spans="1:13" ht="15.5">
      <c r="A10" s="2" t="s">
        <v>412</v>
      </c>
      <c r="B10" s="2" t="s">
        <v>211</v>
      </c>
      <c r="C10" s="2" t="s">
        <v>411</v>
      </c>
      <c r="D10" s="2" t="s">
        <v>192</v>
      </c>
      <c r="E10" s="16">
        <v>592</v>
      </c>
      <c r="F10" s="14">
        <v>675</v>
      </c>
      <c r="G10" s="14">
        <v>952</v>
      </c>
      <c r="H10" s="14">
        <v>200</v>
      </c>
      <c r="I10" s="15">
        <v>45086</v>
      </c>
      <c r="J10" s="15">
        <v>46326</v>
      </c>
      <c r="K10" s="15">
        <v>45086</v>
      </c>
      <c r="L10" s="15"/>
      <c r="M10" s="14">
        <v>1.61</v>
      </c>
    </row>
    <row r="11" spans="1:13" ht="15.5">
      <c r="A11" s="2" t="s">
        <v>410</v>
      </c>
      <c r="B11" s="2" t="s">
        <v>336</v>
      </c>
      <c r="C11" s="2" t="s">
        <v>409</v>
      </c>
      <c r="D11" s="2" t="s">
        <v>192</v>
      </c>
      <c r="E11" s="16">
        <v>784</v>
      </c>
      <c r="F11" s="14">
        <v>760</v>
      </c>
      <c r="G11" s="14">
        <v>1075</v>
      </c>
      <c r="H11" s="14">
        <v>200</v>
      </c>
      <c r="I11" s="15">
        <v>45288</v>
      </c>
      <c r="J11" s="15">
        <v>46265</v>
      </c>
      <c r="K11" s="15">
        <v>45288</v>
      </c>
      <c r="L11" s="15"/>
      <c r="M11" s="14">
        <v>1.37</v>
      </c>
    </row>
    <row r="12" spans="1:13" ht="15.5">
      <c r="A12" s="2" t="s">
        <v>408</v>
      </c>
      <c r="B12" s="2" t="s">
        <v>241</v>
      </c>
      <c r="C12" s="2" t="s">
        <v>407</v>
      </c>
      <c r="D12" s="2" t="s">
        <v>192</v>
      </c>
      <c r="E12" s="16">
        <v>1184</v>
      </c>
      <c r="F12" s="14">
        <v>950</v>
      </c>
      <c r="G12" s="14">
        <v>1225</v>
      </c>
      <c r="H12" s="14">
        <v>350</v>
      </c>
      <c r="I12" s="15">
        <v>45890</v>
      </c>
      <c r="J12" s="15">
        <v>46234</v>
      </c>
      <c r="K12" s="15">
        <v>45890</v>
      </c>
      <c r="L12" s="15"/>
      <c r="M12" s="14">
        <v>1.03</v>
      </c>
    </row>
    <row r="13" spans="1:13" ht="15.5">
      <c r="A13" s="2" t="s">
        <v>406</v>
      </c>
      <c r="B13" s="2" t="s">
        <v>211</v>
      </c>
      <c r="C13" s="2" t="s">
        <v>405</v>
      </c>
      <c r="D13" s="2" t="s">
        <v>192</v>
      </c>
      <c r="E13" s="16">
        <v>592</v>
      </c>
      <c r="F13" s="14">
        <v>675</v>
      </c>
      <c r="G13" s="14">
        <v>675</v>
      </c>
      <c r="H13" s="14">
        <v>0</v>
      </c>
      <c r="I13" s="15">
        <v>46071</v>
      </c>
      <c r="J13" s="15">
        <v>46418</v>
      </c>
      <c r="K13" s="15">
        <v>46071</v>
      </c>
      <c r="L13" s="15"/>
      <c r="M13" s="14">
        <v>1.1399999999999999</v>
      </c>
    </row>
    <row r="14" spans="1:13" ht="15.5">
      <c r="A14" s="2" t="s">
        <v>404</v>
      </c>
      <c r="B14" s="2" t="s">
        <v>211</v>
      </c>
      <c r="C14" s="2" t="s">
        <v>403</v>
      </c>
      <c r="D14" s="2" t="s">
        <v>216</v>
      </c>
      <c r="E14" s="16">
        <v>592</v>
      </c>
      <c r="F14" s="14">
        <v>675</v>
      </c>
      <c r="G14" s="14">
        <v>675</v>
      </c>
      <c r="H14" s="14">
        <v>0</v>
      </c>
      <c r="I14" s="15">
        <v>45995</v>
      </c>
      <c r="J14" s="15">
        <v>46356</v>
      </c>
      <c r="K14" s="15">
        <v>45995</v>
      </c>
      <c r="L14" s="15"/>
      <c r="M14" s="14">
        <v>1.1399999999999999</v>
      </c>
    </row>
    <row r="15" spans="1:13" ht="15.5">
      <c r="A15" s="2" t="s">
        <v>402</v>
      </c>
      <c r="B15" s="2" t="s">
        <v>211</v>
      </c>
      <c r="C15" s="2" t="s">
        <v>401</v>
      </c>
      <c r="D15" s="2" t="s">
        <v>192</v>
      </c>
      <c r="E15" s="16">
        <v>592</v>
      </c>
      <c r="F15" s="14">
        <v>675</v>
      </c>
      <c r="G15" s="14">
        <v>952</v>
      </c>
      <c r="H15" s="14">
        <v>200</v>
      </c>
      <c r="I15" s="15">
        <v>45328</v>
      </c>
      <c r="J15" s="15">
        <v>46418</v>
      </c>
      <c r="K15" s="15">
        <v>45328</v>
      </c>
      <c r="L15" s="15"/>
      <c r="M15" s="14">
        <v>1.61</v>
      </c>
    </row>
    <row r="16" spans="1:13" ht="15.5">
      <c r="A16" s="2" t="s">
        <v>400</v>
      </c>
      <c r="B16" s="2" t="s">
        <v>211</v>
      </c>
      <c r="C16" s="2" t="s">
        <v>399</v>
      </c>
      <c r="D16" s="2" t="s">
        <v>192</v>
      </c>
      <c r="E16" s="16">
        <v>592</v>
      </c>
      <c r="F16" s="14">
        <v>675</v>
      </c>
      <c r="G16" s="14">
        <v>845</v>
      </c>
      <c r="H16" s="14">
        <v>200</v>
      </c>
      <c r="I16" s="15">
        <v>45303</v>
      </c>
      <c r="J16" s="15">
        <v>46387</v>
      </c>
      <c r="K16" s="15">
        <v>45303</v>
      </c>
      <c r="L16" s="15"/>
      <c r="M16" s="14">
        <v>1.43</v>
      </c>
    </row>
    <row r="17" spans="1:13" ht="15.5">
      <c r="A17" s="2" t="s">
        <v>398</v>
      </c>
      <c r="B17" s="2" t="s">
        <v>211</v>
      </c>
      <c r="C17" s="2" t="s">
        <v>397</v>
      </c>
      <c r="D17" s="2" t="s">
        <v>223</v>
      </c>
      <c r="E17" s="16">
        <v>592</v>
      </c>
      <c r="F17" s="14">
        <v>675</v>
      </c>
      <c r="G17" s="14">
        <v>952</v>
      </c>
      <c r="H17" s="14">
        <v>200</v>
      </c>
      <c r="I17" s="15">
        <v>45761</v>
      </c>
      <c r="J17" s="15">
        <v>46112</v>
      </c>
      <c r="K17" s="15">
        <v>45761</v>
      </c>
      <c r="L17" s="15">
        <v>46121</v>
      </c>
      <c r="M17" s="14">
        <v>1.61</v>
      </c>
    </row>
    <row r="18" spans="1:13" ht="15.5">
      <c r="A18" s="2" t="s">
        <v>396</v>
      </c>
      <c r="B18" s="2" t="s">
        <v>211</v>
      </c>
      <c r="C18" s="2" t="s">
        <v>395</v>
      </c>
      <c r="D18" s="2" t="s">
        <v>192</v>
      </c>
      <c r="E18" s="16">
        <v>592</v>
      </c>
      <c r="F18" s="14">
        <v>675</v>
      </c>
      <c r="G18" s="14">
        <v>952</v>
      </c>
      <c r="H18" s="14">
        <v>850</v>
      </c>
      <c r="I18" s="15">
        <v>45008</v>
      </c>
      <c r="J18" s="15">
        <v>46446</v>
      </c>
      <c r="K18" s="15">
        <v>45008</v>
      </c>
      <c r="L18" s="15"/>
      <c r="M18" s="14">
        <v>1.61</v>
      </c>
    </row>
    <row r="19" spans="1:13" ht="15.5">
      <c r="A19" s="2" t="s">
        <v>394</v>
      </c>
      <c r="B19" s="2" t="s">
        <v>241</v>
      </c>
      <c r="C19" s="2" t="s">
        <v>393</v>
      </c>
      <c r="D19" s="2" t="s">
        <v>192</v>
      </c>
      <c r="E19" s="16">
        <v>1184</v>
      </c>
      <c r="F19" s="14">
        <v>950</v>
      </c>
      <c r="G19" s="14">
        <v>1147</v>
      </c>
      <c r="H19" s="14">
        <v>210</v>
      </c>
      <c r="I19" s="15">
        <v>45474</v>
      </c>
      <c r="J19" s="15"/>
      <c r="K19" s="15">
        <v>45474</v>
      </c>
      <c r="L19" s="15"/>
      <c r="M19" s="14">
        <v>0.97</v>
      </c>
    </row>
    <row r="20" spans="1:13" ht="15.5">
      <c r="A20" s="2" t="s">
        <v>392</v>
      </c>
      <c r="B20" s="2" t="s">
        <v>211</v>
      </c>
      <c r="C20" s="2" t="s">
        <v>391</v>
      </c>
      <c r="D20" s="2" t="s">
        <v>192</v>
      </c>
      <c r="E20" s="16">
        <v>592</v>
      </c>
      <c r="F20" s="14">
        <v>675</v>
      </c>
      <c r="G20" s="14">
        <v>675</v>
      </c>
      <c r="H20" s="14">
        <v>0</v>
      </c>
      <c r="I20" s="15">
        <v>46087</v>
      </c>
      <c r="J20" s="15">
        <v>46446</v>
      </c>
      <c r="K20" s="15">
        <v>46087</v>
      </c>
      <c r="L20" s="15"/>
      <c r="M20" s="14">
        <v>1.1399999999999999</v>
      </c>
    </row>
    <row r="21" spans="1:13" ht="15.5">
      <c r="A21" s="2" t="s">
        <v>390</v>
      </c>
      <c r="B21" s="2" t="s">
        <v>336</v>
      </c>
      <c r="C21" s="2" t="s">
        <v>389</v>
      </c>
      <c r="D21" s="2" t="s">
        <v>192</v>
      </c>
      <c r="E21" s="16">
        <v>784</v>
      </c>
      <c r="F21" s="14">
        <v>760</v>
      </c>
      <c r="G21" s="14">
        <v>825</v>
      </c>
      <c r="H21" s="14">
        <v>0</v>
      </c>
      <c r="I21" s="15">
        <v>46082</v>
      </c>
      <c r="J21" s="15">
        <v>46446</v>
      </c>
      <c r="K21" s="15">
        <v>46082</v>
      </c>
      <c r="L21" s="15"/>
      <c r="M21" s="14">
        <v>1.05</v>
      </c>
    </row>
    <row r="22" spans="1:13" ht="15.5">
      <c r="A22" s="2" t="s">
        <v>388</v>
      </c>
      <c r="B22" s="2" t="s">
        <v>211</v>
      </c>
      <c r="C22" s="2" t="s">
        <v>387</v>
      </c>
      <c r="D22" s="2" t="s">
        <v>192</v>
      </c>
      <c r="E22" s="16">
        <v>592</v>
      </c>
      <c r="F22" s="14">
        <v>675</v>
      </c>
      <c r="G22" s="14">
        <v>845</v>
      </c>
      <c r="H22" s="14">
        <v>350</v>
      </c>
      <c r="I22" s="15">
        <v>45839</v>
      </c>
      <c r="J22" s="15">
        <v>46203</v>
      </c>
      <c r="K22" s="15">
        <v>45839</v>
      </c>
      <c r="L22" s="15"/>
      <c r="M22" s="14">
        <v>1.43</v>
      </c>
    </row>
    <row r="23" spans="1:13" ht="15.5">
      <c r="A23" s="2" t="s">
        <v>386</v>
      </c>
      <c r="B23" s="2" t="s">
        <v>341</v>
      </c>
      <c r="C23" s="2" t="s">
        <v>385</v>
      </c>
      <c r="D23" s="2" t="s">
        <v>216</v>
      </c>
      <c r="E23" s="16">
        <v>400</v>
      </c>
      <c r="F23" s="14">
        <v>625</v>
      </c>
      <c r="G23" s="14">
        <v>750</v>
      </c>
      <c r="H23" s="14">
        <v>350</v>
      </c>
      <c r="I23" s="15">
        <v>45791</v>
      </c>
      <c r="J23" s="15">
        <v>46326</v>
      </c>
      <c r="K23" s="15">
        <v>45791</v>
      </c>
      <c r="L23" s="15"/>
      <c r="M23" s="14">
        <v>1.88</v>
      </c>
    </row>
    <row r="24" spans="1:13" ht="15.5">
      <c r="A24" s="2" t="s">
        <v>384</v>
      </c>
      <c r="B24" s="2" t="s">
        <v>211</v>
      </c>
      <c r="C24" s="2" t="s">
        <v>383</v>
      </c>
      <c r="D24" s="2" t="s">
        <v>192</v>
      </c>
      <c r="E24" s="16">
        <v>592</v>
      </c>
      <c r="F24" s="14">
        <v>675</v>
      </c>
      <c r="G24" s="14">
        <v>845</v>
      </c>
      <c r="H24" s="14">
        <v>350</v>
      </c>
      <c r="I24" s="15">
        <v>45918</v>
      </c>
      <c r="J24" s="15">
        <v>46265</v>
      </c>
      <c r="K24" s="15">
        <v>45918</v>
      </c>
      <c r="L24" s="15"/>
      <c r="M24" s="14">
        <v>1.43</v>
      </c>
    </row>
    <row r="25" spans="1:13" ht="15.5">
      <c r="A25" s="2" t="s">
        <v>382</v>
      </c>
      <c r="B25" s="2" t="s">
        <v>211</v>
      </c>
      <c r="C25" s="2"/>
      <c r="D25" s="2" t="s">
        <v>234</v>
      </c>
      <c r="E25" s="16">
        <v>592</v>
      </c>
      <c r="F25" s="14">
        <v>675</v>
      </c>
      <c r="G25" s="14"/>
      <c r="H25" s="14">
        <v>0</v>
      </c>
      <c r="I25" s="15"/>
      <c r="J25" s="15"/>
      <c r="K25" s="15"/>
      <c r="L25" s="15"/>
      <c r="M25" s="14"/>
    </row>
    <row r="26" spans="1:13" ht="15.5">
      <c r="A26" s="2" t="s">
        <v>381</v>
      </c>
      <c r="B26" s="2" t="s">
        <v>211</v>
      </c>
      <c r="C26" s="2" t="s">
        <v>380</v>
      </c>
      <c r="D26" s="2" t="s">
        <v>192</v>
      </c>
      <c r="E26" s="16">
        <v>592</v>
      </c>
      <c r="F26" s="14">
        <v>675</v>
      </c>
      <c r="G26" s="14">
        <v>675</v>
      </c>
      <c r="H26" s="14">
        <v>0</v>
      </c>
      <c r="I26" s="15">
        <v>46000</v>
      </c>
      <c r="J26" s="15">
        <v>46356</v>
      </c>
      <c r="K26" s="15">
        <v>46000</v>
      </c>
      <c r="L26" s="15"/>
      <c r="M26" s="14">
        <v>1.1399999999999999</v>
      </c>
    </row>
    <row r="27" spans="1:13" ht="15.5">
      <c r="A27" s="2" t="s">
        <v>379</v>
      </c>
      <c r="B27" s="2" t="s">
        <v>211</v>
      </c>
      <c r="C27" s="2" t="s">
        <v>378</v>
      </c>
      <c r="D27" s="2" t="s">
        <v>192</v>
      </c>
      <c r="E27" s="16">
        <v>592</v>
      </c>
      <c r="F27" s="14">
        <v>675</v>
      </c>
      <c r="G27" s="14">
        <v>825</v>
      </c>
      <c r="H27" s="14">
        <v>0</v>
      </c>
      <c r="I27" s="15">
        <v>46023</v>
      </c>
      <c r="J27" s="15">
        <v>46387</v>
      </c>
      <c r="K27" s="15">
        <v>46023</v>
      </c>
      <c r="L27" s="15"/>
      <c r="M27" s="14">
        <v>1.39</v>
      </c>
    </row>
    <row r="28" spans="1:13" ht="15.5">
      <c r="A28" s="2" t="s">
        <v>377</v>
      </c>
      <c r="B28" s="2" t="s">
        <v>211</v>
      </c>
      <c r="C28" s="2" t="s">
        <v>376</v>
      </c>
      <c r="D28" s="2" t="s">
        <v>192</v>
      </c>
      <c r="E28" s="16">
        <v>592</v>
      </c>
      <c r="F28" s="14">
        <v>675</v>
      </c>
      <c r="G28" s="14">
        <v>675</v>
      </c>
      <c r="H28" s="14">
        <v>0</v>
      </c>
      <c r="I28" s="15">
        <v>44652</v>
      </c>
      <c r="J28" s="15">
        <v>46418</v>
      </c>
      <c r="K28" s="15">
        <v>44805</v>
      </c>
      <c r="L28" s="15"/>
      <c r="M28" s="14">
        <v>1.1399999999999999</v>
      </c>
    </row>
    <row r="29" spans="1:13" ht="15.5">
      <c r="A29" s="2" t="s">
        <v>375</v>
      </c>
      <c r="B29" s="2" t="s">
        <v>211</v>
      </c>
      <c r="C29" s="2" t="s">
        <v>374</v>
      </c>
      <c r="D29" s="2" t="s">
        <v>192</v>
      </c>
      <c r="E29" s="16">
        <v>592</v>
      </c>
      <c r="F29" s="14">
        <v>675</v>
      </c>
      <c r="G29" s="14">
        <v>795</v>
      </c>
      <c r="H29" s="14">
        <v>0</v>
      </c>
      <c r="I29" s="15">
        <v>44652</v>
      </c>
      <c r="J29" s="15"/>
      <c r="K29" s="15">
        <v>44805</v>
      </c>
      <c r="L29" s="15"/>
      <c r="M29" s="14">
        <v>1.34</v>
      </c>
    </row>
    <row r="30" spans="1:13" ht="15.5">
      <c r="A30" s="2" t="s">
        <v>373</v>
      </c>
      <c r="B30" s="2" t="s">
        <v>211</v>
      </c>
      <c r="C30" s="2" t="s">
        <v>372</v>
      </c>
      <c r="D30" s="2" t="s">
        <v>192</v>
      </c>
      <c r="E30" s="16">
        <v>592</v>
      </c>
      <c r="F30" s="14">
        <v>675</v>
      </c>
      <c r="G30" s="14">
        <v>952</v>
      </c>
      <c r="H30" s="14">
        <v>350</v>
      </c>
      <c r="I30" s="15">
        <v>45790</v>
      </c>
      <c r="J30" s="15">
        <v>46507</v>
      </c>
      <c r="K30" s="15">
        <v>45790</v>
      </c>
      <c r="L30" s="15"/>
      <c r="M30" s="14">
        <v>1.61</v>
      </c>
    </row>
    <row r="31" spans="1:13" ht="15.5">
      <c r="A31" s="2" t="s">
        <v>371</v>
      </c>
      <c r="B31" s="2" t="s">
        <v>211</v>
      </c>
      <c r="C31" s="2" t="s">
        <v>370</v>
      </c>
      <c r="D31" s="2" t="s">
        <v>192</v>
      </c>
      <c r="E31" s="16">
        <v>592</v>
      </c>
      <c r="F31" s="14">
        <v>650</v>
      </c>
      <c r="G31" s="14">
        <v>952</v>
      </c>
      <c r="H31" s="14">
        <v>200</v>
      </c>
      <c r="I31" s="15">
        <v>45267</v>
      </c>
      <c r="J31" s="15">
        <v>46387</v>
      </c>
      <c r="K31" s="15">
        <v>45267</v>
      </c>
      <c r="L31" s="15"/>
      <c r="M31" s="14">
        <v>1.61</v>
      </c>
    </row>
    <row r="32" spans="1:13" ht="15.5">
      <c r="A32" s="2" t="s">
        <v>369</v>
      </c>
      <c r="B32" s="2" t="s">
        <v>211</v>
      </c>
      <c r="C32" s="2" t="s">
        <v>368</v>
      </c>
      <c r="D32" s="2" t="s">
        <v>223</v>
      </c>
      <c r="E32" s="16">
        <v>592</v>
      </c>
      <c r="F32" s="14">
        <v>675</v>
      </c>
      <c r="G32" s="14">
        <v>845</v>
      </c>
      <c r="H32" s="14">
        <v>350</v>
      </c>
      <c r="I32" s="15">
        <v>45863</v>
      </c>
      <c r="J32" s="15">
        <v>46234</v>
      </c>
      <c r="K32" s="15">
        <v>45863</v>
      </c>
      <c r="L32" s="15">
        <v>46121</v>
      </c>
      <c r="M32" s="14">
        <v>1.43</v>
      </c>
    </row>
    <row r="33" spans="1:13" ht="15.5">
      <c r="A33" s="2" t="s">
        <v>367</v>
      </c>
      <c r="B33" s="2" t="s">
        <v>341</v>
      </c>
      <c r="C33" s="2" t="s">
        <v>366</v>
      </c>
      <c r="D33" s="2" t="s">
        <v>223</v>
      </c>
      <c r="E33" s="16">
        <v>400</v>
      </c>
      <c r="F33" s="14">
        <v>625</v>
      </c>
      <c r="G33" s="14">
        <v>625</v>
      </c>
      <c r="H33" s="14">
        <v>0</v>
      </c>
      <c r="I33" s="15">
        <v>46078</v>
      </c>
      <c r="J33" s="15">
        <v>46418</v>
      </c>
      <c r="K33" s="15">
        <v>46078</v>
      </c>
      <c r="L33" s="15">
        <v>46125</v>
      </c>
      <c r="M33" s="14">
        <v>1.56</v>
      </c>
    </row>
    <row r="34" spans="1:13" ht="15.5">
      <c r="A34" s="2" t="s">
        <v>365</v>
      </c>
      <c r="B34" s="2" t="s">
        <v>211</v>
      </c>
      <c r="C34" s="2" t="s">
        <v>364</v>
      </c>
      <c r="D34" s="2" t="s">
        <v>192</v>
      </c>
      <c r="E34" s="16">
        <v>592</v>
      </c>
      <c r="F34" s="14">
        <v>675</v>
      </c>
      <c r="G34" s="14">
        <v>825</v>
      </c>
      <c r="H34" s="14">
        <v>825</v>
      </c>
      <c r="I34" s="15">
        <v>46082</v>
      </c>
      <c r="J34" s="15">
        <v>46265</v>
      </c>
      <c r="K34" s="15">
        <v>46082</v>
      </c>
      <c r="L34" s="15"/>
      <c r="M34" s="14">
        <v>1.39</v>
      </c>
    </row>
    <row r="35" spans="1:13" ht="15.5">
      <c r="A35" s="2" t="s">
        <v>363</v>
      </c>
      <c r="B35" s="2" t="s">
        <v>336</v>
      </c>
      <c r="C35" s="2" t="s">
        <v>362</v>
      </c>
      <c r="D35" s="2" t="s">
        <v>192</v>
      </c>
      <c r="E35" s="16">
        <v>784</v>
      </c>
      <c r="F35" s="14">
        <v>760</v>
      </c>
      <c r="G35" s="14">
        <v>1158</v>
      </c>
      <c r="H35" s="14">
        <v>200</v>
      </c>
      <c r="I35" s="15">
        <v>45575</v>
      </c>
      <c r="J35" s="15">
        <v>46295</v>
      </c>
      <c r="K35" s="15">
        <v>45575</v>
      </c>
      <c r="L35" s="15"/>
      <c r="M35" s="14">
        <v>1.48</v>
      </c>
    </row>
    <row r="36" spans="1:13" ht="15.5">
      <c r="A36" s="2" t="s">
        <v>361</v>
      </c>
      <c r="B36" s="2" t="s">
        <v>211</v>
      </c>
      <c r="C36" s="2" t="s">
        <v>360</v>
      </c>
      <c r="D36" s="2" t="s">
        <v>192</v>
      </c>
      <c r="E36" s="16">
        <v>592</v>
      </c>
      <c r="F36" s="14">
        <v>675</v>
      </c>
      <c r="G36" s="14">
        <v>650</v>
      </c>
      <c r="H36" s="14">
        <v>625</v>
      </c>
      <c r="I36" s="15">
        <v>45078</v>
      </c>
      <c r="J36" s="15">
        <v>46538</v>
      </c>
      <c r="K36" s="15">
        <v>45078</v>
      </c>
      <c r="L36" s="15"/>
      <c r="M36" s="14">
        <v>1.1000000000000001</v>
      </c>
    </row>
    <row r="37" spans="1:13" ht="15.5">
      <c r="A37" s="2" t="s">
        <v>359</v>
      </c>
      <c r="B37" s="2" t="s">
        <v>241</v>
      </c>
      <c r="C37" s="2" t="s">
        <v>358</v>
      </c>
      <c r="D37" s="2" t="s">
        <v>192</v>
      </c>
      <c r="E37" s="16">
        <v>1184</v>
      </c>
      <c r="F37" s="14">
        <v>950</v>
      </c>
      <c r="G37" s="14">
        <v>1075</v>
      </c>
      <c r="H37" s="14">
        <v>210</v>
      </c>
      <c r="I37" s="15">
        <v>45484</v>
      </c>
      <c r="J37" s="15">
        <v>46203</v>
      </c>
      <c r="K37" s="15">
        <v>45484</v>
      </c>
      <c r="L37" s="15"/>
      <c r="M37" s="14">
        <v>0.91</v>
      </c>
    </row>
    <row r="38" spans="1:13" ht="15.5">
      <c r="A38" s="2" t="s">
        <v>357</v>
      </c>
      <c r="B38" s="2" t="s">
        <v>211</v>
      </c>
      <c r="C38" s="2" t="s">
        <v>356</v>
      </c>
      <c r="D38" s="2" t="s">
        <v>355</v>
      </c>
      <c r="E38" s="16">
        <v>592</v>
      </c>
      <c r="F38" s="14">
        <v>675</v>
      </c>
      <c r="G38" s="14">
        <v>952</v>
      </c>
      <c r="H38" s="14">
        <v>0</v>
      </c>
      <c r="I38" s="15">
        <v>45078</v>
      </c>
      <c r="J38" s="15">
        <v>46295</v>
      </c>
      <c r="K38" s="15">
        <v>45078</v>
      </c>
      <c r="L38" s="15">
        <v>46112</v>
      </c>
      <c r="M38" s="14">
        <v>1.61</v>
      </c>
    </row>
    <row r="39" spans="1:13" ht="15.5">
      <c r="A39" s="2" t="s">
        <v>354</v>
      </c>
      <c r="B39" s="2" t="s">
        <v>211</v>
      </c>
      <c r="C39" s="2" t="s">
        <v>353</v>
      </c>
      <c r="D39" s="2" t="s">
        <v>192</v>
      </c>
      <c r="E39" s="16">
        <v>592</v>
      </c>
      <c r="F39" s="14">
        <v>675</v>
      </c>
      <c r="G39" s="14">
        <v>695</v>
      </c>
      <c r="H39" s="14">
        <v>0</v>
      </c>
      <c r="I39" s="15">
        <v>45964</v>
      </c>
      <c r="J39" s="15">
        <v>46326</v>
      </c>
      <c r="K39" s="15">
        <v>45964</v>
      </c>
      <c r="L39" s="15"/>
      <c r="M39" s="14">
        <v>1.17</v>
      </c>
    </row>
    <row r="40" spans="1:13" ht="15.5">
      <c r="A40" s="2" t="s">
        <v>352</v>
      </c>
      <c r="B40" s="2" t="s">
        <v>211</v>
      </c>
      <c r="C40" s="2" t="s">
        <v>351</v>
      </c>
      <c r="D40" s="2" t="s">
        <v>192</v>
      </c>
      <c r="E40" s="16">
        <v>592</v>
      </c>
      <c r="F40" s="14">
        <v>675</v>
      </c>
      <c r="G40" s="14">
        <v>993</v>
      </c>
      <c r="H40" s="14">
        <v>0</v>
      </c>
      <c r="I40" s="15">
        <v>46057</v>
      </c>
      <c r="J40" s="15">
        <v>46418</v>
      </c>
      <c r="K40" s="15">
        <v>46057</v>
      </c>
      <c r="L40" s="15"/>
      <c r="M40" s="14">
        <v>1.68</v>
      </c>
    </row>
    <row r="41" spans="1:13" ht="15.5">
      <c r="A41" s="2" t="s">
        <v>350</v>
      </c>
      <c r="B41" s="2" t="s">
        <v>211</v>
      </c>
      <c r="C41" s="2" t="s">
        <v>349</v>
      </c>
      <c r="D41" s="2" t="s">
        <v>192</v>
      </c>
      <c r="E41" s="16">
        <v>592</v>
      </c>
      <c r="F41" s="14">
        <v>675</v>
      </c>
      <c r="G41" s="14">
        <v>825</v>
      </c>
      <c r="H41" s="14">
        <v>0</v>
      </c>
      <c r="I41" s="15">
        <v>46071</v>
      </c>
      <c r="J41" s="15">
        <v>46418</v>
      </c>
      <c r="K41" s="15">
        <v>46071</v>
      </c>
      <c r="L41" s="15"/>
      <c r="M41" s="14">
        <v>1.39</v>
      </c>
    </row>
    <row r="42" spans="1:13" ht="15.5">
      <c r="A42" s="2" t="s">
        <v>348</v>
      </c>
      <c r="B42" s="2" t="s">
        <v>211</v>
      </c>
      <c r="C42" s="2" t="s">
        <v>347</v>
      </c>
      <c r="D42" s="2" t="s">
        <v>192</v>
      </c>
      <c r="E42" s="16">
        <v>592</v>
      </c>
      <c r="F42" s="14">
        <v>675</v>
      </c>
      <c r="G42" s="14">
        <v>879</v>
      </c>
      <c r="H42" s="14">
        <v>0</v>
      </c>
      <c r="I42" s="15">
        <v>45055</v>
      </c>
      <c r="J42" s="15">
        <v>46173</v>
      </c>
      <c r="K42" s="15">
        <v>45055</v>
      </c>
      <c r="L42" s="15"/>
      <c r="M42" s="14">
        <v>1.48</v>
      </c>
    </row>
    <row r="43" spans="1:13" ht="15.5">
      <c r="A43" s="2" t="s">
        <v>346</v>
      </c>
      <c r="B43" s="2" t="s">
        <v>211</v>
      </c>
      <c r="C43" s="2" t="s">
        <v>345</v>
      </c>
      <c r="D43" s="2" t="s">
        <v>192</v>
      </c>
      <c r="E43" s="16">
        <v>592</v>
      </c>
      <c r="F43" s="14">
        <v>675</v>
      </c>
      <c r="G43" s="14">
        <v>845</v>
      </c>
      <c r="H43" s="14">
        <v>210</v>
      </c>
      <c r="I43" s="15">
        <v>45444</v>
      </c>
      <c r="J43" s="15">
        <v>46173</v>
      </c>
      <c r="K43" s="15">
        <v>45444</v>
      </c>
      <c r="L43" s="15"/>
      <c r="M43" s="14">
        <v>1.43</v>
      </c>
    </row>
    <row r="44" spans="1:13" ht="15.5">
      <c r="A44" s="2" t="s">
        <v>344</v>
      </c>
      <c r="B44" s="2" t="s">
        <v>211</v>
      </c>
      <c r="C44" s="2" t="s">
        <v>343</v>
      </c>
      <c r="D44" s="2" t="s">
        <v>192</v>
      </c>
      <c r="E44" s="16">
        <v>592</v>
      </c>
      <c r="F44" s="14">
        <v>675</v>
      </c>
      <c r="G44" s="14">
        <v>952</v>
      </c>
      <c r="H44" s="14">
        <v>200</v>
      </c>
      <c r="I44" s="15">
        <v>45093</v>
      </c>
      <c r="J44" s="15">
        <v>46295</v>
      </c>
      <c r="K44" s="15">
        <v>45093</v>
      </c>
      <c r="L44" s="15"/>
      <c r="M44" s="14">
        <v>1.61</v>
      </c>
    </row>
    <row r="45" spans="1:13" ht="15.5">
      <c r="A45" s="2" t="s">
        <v>342</v>
      </c>
      <c r="B45" s="2" t="s">
        <v>341</v>
      </c>
      <c r="C45" s="2" t="s">
        <v>340</v>
      </c>
      <c r="D45" s="2" t="s">
        <v>192</v>
      </c>
      <c r="E45" s="16">
        <v>400</v>
      </c>
      <c r="F45" s="14">
        <v>625</v>
      </c>
      <c r="G45" s="14">
        <v>750</v>
      </c>
      <c r="H45" s="14">
        <v>0</v>
      </c>
      <c r="I45" s="15">
        <v>46097</v>
      </c>
      <c r="J45" s="15">
        <v>46295</v>
      </c>
      <c r="K45" s="15">
        <v>46097</v>
      </c>
      <c r="L45" s="15"/>
      <c r="M45" s="14">
        <v>1.88</v>
      </c>
    </row>
    <row r="46" spans="1:13" ht="15.5">
      <c r="A46" s="2" t="s">
        <v>339</v>
      </c>
      <c r="B46" s="2" t="s">
        <v>211</v>
      </c>
      <c r="C46" s="2" t="s">
        <v>338</v>
      </c>
      <c r="D46" s="2" t="s">
        <v>192</v>
      </c>
      <c r="E46" s="16">
        <v>592</v>
      </c>
      <c r="F46" s="14">
        <v>675</v>
      </c>
      <c r="G46" s="14">
        <v>825</v>
      </c>
      <c r="H46" s="14">
        <v>0</v>
      </c>
      <c r="I46" s="15">
        <v>46082</v>
      </c>
      <c r="J46" s="15">
        <v>46446</v>
      </c>
      <c r="K46" s="15">
        <v>46082</v>
      </c>
      <c r="L46" s="15"/>
      <c r="M46" s="14">
        <v>1.39</v>
      </c>
    </row>
    <row r="47" spans="1:13" ht="15.5">
      <c r="A47" s="2" t="s">
        <v>337</v>
      </c>
      <c r="B47" s="2" t="s">
        <v>336</v>
      </c>
      <c r="C47" s="2" t="s">
        <v>335</v>
      </c>
      <c r="D47" s="2" t="s">
        <v>223</v>
      </c>
      <c r="E47" s="16">
        <v>784</v>
      </c>
      <c r="F47" s="14">
        <v>760</v>
      </c>
      <c r="G47" s="14">
        <v>760</v>
      </c>
      <c r="H47" s="14">
        <v>0</v>
      </c>
      <c r="I47" s="15">
        <v>45968</v>
      </c>
      <c r="J47" s="15">
        <v>46326</v>
      </c>
      <c r="K47" s="15">
        <v>45968</v>
      </c>
      <c r="L47" s="15">
        <v>46116</v>
      </c>
      <c r="M47" s="14">
        <v>0.97</v>
      </c>
    </row>
    <row r="48" spans="1:13" ht="15.5">
      <c r="A48" s="2" t="s">
        <v>334</v>
      </c>
      <c r="B48" s="2" t="s">
        <v>211</v>
      </c>
      <c r="C48" s="2" t="s">
        <v>333</v>
      </c>
      <c r="D48" s="2" t="s">
        <v>192</v>
      </c>
      <c r="E48" s="16">
        <v>592</v>
      </c>
      <c r="F48" s="14">
        <v>650</v>
      </c>
      <c r="G48" s="14">
        <v>825</v>
      </c>
      <c r="H48" s="14">
        <v>200</v>
      </c>
      <c r="I48" s="15">
        <v>45627</v>
      </c>
      <c r="J48" s="15">
        <v>46173</v>
      </c>
      <c r="K48" s="15">
        <v>45627</v>
      </c>
      <c r="L48" s="15"/>
      <c r="M48" s="14">
        <v>1.39</v>
      </c>
    </row>
    <row r="49" spans="1:13" ht="15.5">
      <c r="A49" s="2" t="s">
        <v>332</v>
      </c>
      <c r="B49" s="2" t="s">
        <v>241</v>
      </c>
      <c r="C49" s="2"/>
      <c r="D49" s="2" t="s">
        <v>234</v>
      </c>
      <c r="E49" s="16">
        <v>1184</v>
      </c>
      <c r="F49" s="14">
        <v>950</v>
      </c>
      <c r="G49" s="14"/>
      <c r="H49" s="14">
        <v>0</v>
      </c>
      <c r="I49" s="15"/>
      <c r="J49" s="15"/>
      <c r="K49" s="15"/>
      <c r="L49" s="15"/>
      <c r="M49" s="14"/>
    </row>
    <row r="50" spans="1:13" ht="15.5">
      <c r="A50" s="2" t="s">
        <v>331</v>
      </c>
      <c r="B50" s="2" t="s">
        <v>241</v>
      </c>
      <c r="C50" s="2" t="s">
        <v>330</v>
      </c>
      <c r="D50" s="2" t="s">
        <v>192</v>
      </c>
      <c r="E50" s="16">
        <v>1184</v>
      </c>
      <c r="F50" s="14">
        <v>950</v>
      </c>
      <c r="G50" s="14">
        <v>1075</v>
      </c>
      <c r="H50" s="14">
        <v>170</v>
      </c>
      <c r="I50" s="15">
        <v>45450</v>
      </c>
      <c r="J50" s="15">
        <v>46538</v>
      </c>
      <c r="K50" s="15">
        <v>45450</v>
      </c>
      <c r="L50" s="15"/>
      <c r="M50" s="14">
        <v>0.91</v>
      </c>
    </row>
    <row r="51" spans="1:13" ht="15.5">
      <c r="A51" s="2" t="s">
        <v>329</v>
      </c>
      <c r="B51" s="2" t="s">
        <v>211</v>
      </c>
      <c r="C51" s="2"/>
      <c r="D51" s="2" t="s">
        <v>234</v>
      </c>
      <c r="E51" s="16">
        <v>592</v>
      </c>
      <c r="F51" s="14">
        <v>675</v>
      </c>
      <c r="G51" s="14"/>
      <c r="H51" s="14">
        <v>0</v>
      </c>
      <c r="I51" s="15"/>
      <c r="J51" s="15"/>
      <c r="K51" s="15"/>
      <c r="L51" s="15"/>
      <c r="M51" s="14"/>
    </row>
    <row r="52" spans="1:13" ht="15.5">
      <c r="A52" s="2" t="s">
        <v>328</v>
      </c>
      <c r="B52" s="2" t="s">
        <v>211</v>
      </c>
      <c r="C52" s="2" t="s">
        <v>327</v>
      </c>
      <c r="D52" s="2" t="s">
        <v>192</v>
      </c>
      <c r="E52" s="16">
        <v>592</v>
      </c>
      <c r="F52" s="14">
        <v>675</v>
      </c>
      <c r="G52" s="14">
        <v>845</v>
      </c>
      <c r="H52" s="14">
        <v>250</v>
      </c>
      <c r="I52" s="15">
        <v>45778</v>
      </c>
      <c r="J52" s="15">
        <v>46507</v>
      </c>
      <c r="K52" s="15">
        <v>45778</v>
      </c>
      <c r="L52" s="15"/>
      <c r="M52" s="14">
        <v>1.43</v>
      </c>
    </row>
    <row r="53" spans="1:13" ht="15.5">
      <c r="A53" s="2" t="s">
        <v>326</v>
      </c>
      <c r="B53" s="2" t="s">
        <v>211</v>
      </c>
      <c r="C53" s="2" t="s">
        <v>325</v>
      </c>
      <c r="D53" s="2" t="s">
        <v>192</v>
      </c>
      <c r="E53" s="16">
        <v>592</v>
      </c>
      <c r="F53" s="14">
        <v>675</v>
      </c>
      <c r="G53" s="14">
        <v>800</v>
      </c>
      <c r="H53" s="14">
        <v>210</v>
      </c>
      <c r="I53" s="15">
        <v>45569</v>
      </c>
      <c r="J53" s="15">
        <v>46295</v>
      </c>
      <c r="K53" s="15">
        <v>45569</v>
      </c>
      <c r="L53" s="15"/>
      <c r="M53" s="14">
        <v>1.35</v>
      </c>
    </row>
    <row r="54" spans="1:13" ht="15.5">
      <c r="A54" s="2" t="s">
        <v>324</v>
      </c>
      <c r="B54" s="2" t="s">
        <v>211</v>
      </c>
      <c r="C54" s="2" t="s">
        <v>323</v>
      </c>
      <c r="D54" s="2" t="s">
        <v>192</v>
      </c>
      <c r="E54" s="16">
        <v>592</v>
      </c>
      <c r="F54" s="14">
        <v>675</v>
      </c>
      <c r="G54" s="14">
        <v>845</v>
      </c>
      <c r="H54" s="14">
        <v>350</v>
      </c>
      <c r="I54" s="15">
        <v>45883</v>
      </c>
      <c r="J54" s="15">
        <v>46234</v>
      </c>
      <c r="K54" s="15">
        <v>45883</v>
      </c>
      <c r="L54" s="15"/>
      <c r="M54" s="14">
        <v>1.43</v>
      </c>
    </row>
    <row r="55" spans="1:13" ht="15.5">
      <c r="A55" s="2" t="s">
        <v>322</v>
      </c>
      <c r="B55" s="2" t="s">
        <v>211</v>
      </c>
      <c r="C55" s="2" t="s">
        <v>321</v>
      </c>
      <c r="D55" s="2" t="s">
        <v>192</v>
      </c>
      <c r="E55" s="16">
        <v>592</v>
      </c>
      <c r="F55" s="14">
        <v>675</v>
      </c>
      <c r="G55" s="14">
        <v>650</v>
      </c>
      <c r="H55" s="14">
        <v>0</v>
      </c>
      <c r="I55" s="15">
        <v>44946</v>
      </c>
      <c r="J55" s="15">
        <v>46477</v>
      </c>
      <c r="K55" s="15">
        <v>44946</v>
      </c>
      <c r="L55" s="15"/>
      <c r="M55" s="14">
        <v>1.1000000000000001</v>
      </c>
    </row>
    <row r="56" spans="1:13" ht="15.5">
      <c r="A56" s="2" t="s">
        <v>320</v>
      </c>
      <c r="B56" s="2" t="s">
        <v>211</v>
      </c>
      <c r="C56" s="2"/>
      <c r="D56" s="2" t="s">
        <v>234</v>
      </c>
      <c r="E56" s="16">
        <v>592</v>
      </c>
      <c r="F56" s="14">
        <v>675</v>
      </c>
      <c r="G56" s="14"/>
      <c r="H56" s="14">
        <v>0</v>
      </c>
      <c r="I56" s="15"/>
      <c r="J56" s="15"/>
      <c r="K56" s="15"/>
      <c r="L56" s="15"/>
      <c r="M56" s="14"/>
    </row>
    <row r="57" spans="1:13" ht="15.5">
      <c r="A57" s="2" t="s">
        <v>319</v>
      </c>
      <c r="B57" s="2" t="s">
        <v>211</v>
      </c>
      <c r="C57" s="2" t="s">
        <v>318</v>
      </c>
      <c r="D57" s="2" t="s">
        <v>192</v>
      </c>
      <c r="E57" s="16">
        <v>592</v>
      </c>
      <c r="F57" s="14">
        <v>675</v>
      </c>
      <c r="G57" s="14">
        <v>952</v>
      </c>
      <c r="H57" s="14">
        <v>200</v>
      </c>
      <c r="I57" s="15">
        <v>45329</v>
      </c>
      <c r="J57" s="15">
        <v>46418</v>
      </c>
      <c r="K57" s="15">
        <v>45329</v>
      </c>
      <c r="L57" s="15"/>
      <c r="M57" s="14">
        <v>1.61</v>
      </c>
    </row>
    <row r="58" spans="1:13" ht="15.5">
      <c r="A58" s="2" t="s">
        <v>317</v>
      </c>
      <c r="B58" s="2" t="s">
        <v>211</v>
      </c>
      <c r="C58" s="2" t="s">
        <v>316</v>
      </c>
      <c r="D58" s="2" t="s">
        <v>223</v>
      </c>
      <c r="E58" s="16">
        <v>592</v>
      </c>
      <c r="F58" s="14">
        <v>675</v>
      </c>
      <c r="G58" s="14">
        <v>825</v>
      </c>
      <c r="H58" s="14">
        <v>0</v>
      </c>
      <c r="I58" s="15">
        <v>46049</v>
      </c>
      <c r="J58" s="15">
        <v>46387</v>
      </c>
      <c r="K58" s="15">
        <v>46049</v>
      </c>
      <c r="L58" s="15">
        <v>46112</v>
      </c>
      <c r="M58" s="14">
        <v>1.39</v>
      </c>
    </row>
    <row r="59" spans="1:13" ht="15.5">
      <c r="A59" s="2" t="s">
        <v>315</v>
      </c>
      <c r="B59" s="2" t="s">
        <v>194</v>
      </c>
      <c r="C59" s="2" t="s">
        <v>314</v>
      </c>
      <c r="D59" s="2" t="s">
        <v>216</v>
      </c>
      <c r="E59" s="16">
        <v>992</v>
      </c>
      <c r="F59" s="14">
        <v>780</v>
      </c>
      <c r="G59" s="14">
        <v>1005</v>
      </c>
      <c r="H59" s="14">
        <v>350</v>
      </c>
      <c r="I59" s="15">
        <v>45839</v>
      </c>
      <c r="J59" s="15">
        <v>46203</v>
      </c>
      <c r="K59" s="15">
        <v>45839</v>
      </c>
      <c r="L59" s="15"/>
      <c r="M59" s="14">
        <v>1.01</v>
      </c>
    </row>
    <row r="60" spans="1:13" ht="15.5">
      <c r="A60" s="2" t="s">
        <v>313</v>
      </c>
      <c r="B60" s="2" t="s">
        <v>211</v>
      </c>
      <c r="C60" s="2" t="s">
        <v>312</v>
      </c>
      <c r="D60" s="2" t="s">
        <v>192</v>
      </c>
      <c r="E60" s="16">
        <v>592</v>
      </c>
      <c r="F60" s="14">
        <v>675</v>
      </c>
      <c r="G60" s="14">
        <v>825</v>
      </c>
      <c r="H60" s="14">
        <v>0</v>
      </c>
      <c r="I60" s="15">
        <v>46097</v>
      </c>
      <c r="J60" s="15">
        <v>46446</v>
      </c>
      <c r="K60" s="15">
        <v>46097</v>
      </c>
      <c r="L60" s="15"/>
      <c r="M60" s="14">
        <v>1.39</v>
      </c>
    </row>
    <row r="61" spans="1:13" ht="15.5">
      <c r="A61" s="2" t="s">
        <v>311</v>
      </c>
      <c r="B61" s="2" t="s">
        <v>194</v>
      </c>
      <c r="C61" s="2" t="s">
        <v>310</v>
      </c>
      <c r="D61" s="2" t="s">
        <v>192</v>
      </c>
      <c r="E61" s="16">
        <v>992</v>
      </c>
      <c r="F61" s="14">
        <v>780</v>
      </c>
      <c r="G61" s="14">
        <v>780</v>
      </c>
      <c r="H61" s="14">
        <v>780</v>
      </c>
      <c r="I61" s="15">
        <v>46009</v>
      </c>
      <c r="J61" s="15">
        <v>46356</v>
      </c>
      <c r="K61" s="15">
        <v>46009</v>
      </c>
      <c r="L61" s="15"/>
      <c r="M61" s="14">
        <v>0.79</v>
      </c>
    </row>
    <row r="62" spans="1:13" ht="15.5">
      <c r="A62" s="2" t="s">
        <v>309</v>
      </c>
      <c r="B62" s="2" t="s">
        <v>211</v>
      </c>
      <c r="C62" s="2" t="s">
        <v>308</v>
      </c>
      <c r="D62" s="2" t="s">
        <v>192</v>
      </c>
      <c r="E62" s="16">
        <v>592</v>
      </c>
      <c r="F62" s="14">
        <v>675</v>
      </c>
      <c r="G62" s="14">
        <v>825</v>
      </c>
      <c r="H62" s="14">
        <v>0</v>
      </c>
      <c r="I62" s="15">
        <v>46023</v>
      </c>
      <c r="J62" s="15">
        <v>46203</v>
      </c>
      <c r="K62" s="15">
        <v>46023</v>
      </c>
      <c r="L62" s="15"/>
      <c r="M62" s="14">
        <v>1.39</v>
      </c>
    </row>
    <row r="63" spans="1:13" ht="15.5">
      <c r="A63" s="2" t="s">
        <v>307</v>
      </c>
      <c r="B63" s="2" t="s">
        <v>194</v>
      </c>
      <c r="C63" s="2" t="s">
        <v>306</v>
      </c>
      <c r="D63" s="2" t="s">
        <v>192</v>
      </c>
      <c r="E63" s="16">
        <v>992</v>
      </c>
      <c r="F63" s="14">
        <v>780</v>
      </c>
      <c r="G63" s="14">
        <v>1005</v>
      </c>
      <c r="H63" s="14">
        <v>0</v>
      </c>
      <c r="I63" s="15">
        <v>46085</v>
      </c>
      <c r="J63" s="15">
        <v>46446</v>
      </c>
      <c r="K63" s="15">
        <v>46085</v>
      </c>
      <c r="L63" s="15"/>
      <c r="M63" s="14">
        <v>1.01</v>
      </c>
    </row>
    <row r="64" spans="1:13" ht="15.5">
      <c r="A64" s="2" t="s">
        <v>305</v>
      </c>
      <c r="B64" s="2" t="s">
        <v>211</v>
      </c>
      <c r="C64" s="2" t="s">
        <v>304</v>
      </c>
      <c r="D64" s="2" t="s">
        <v>192</v>
      </c>
      <c r="E64" s="16">
        <v>592</v>
      </c>
      <c r="F64" s="14">
        <v>675</v>
      </c>
      <c r="G64" s="14">
        <v>845</v>
      </c>
      <c r="H64" s="14">
        <v>0</v>
      </c>
      <c r="I64" s="15">
        <v>45712</v>
      </c>
      <c r="J64" s="15">
        <v>46234</v>
      </c>
      <c r="K64" s="15">
        <v>45712</v>
      </c>
      <c r="L64" s="15"/>
      <c r="M64" s="14">
        <v>1.43</v>
      </c>
    </row>
    <row r="65" spans="1:13" ht="15.5">
      <c r="A65" s="2" t="s">
        <v>303</v>
      </c>
      <c r="B65" s="2" t="s">
        <v>194</v>
      </c>
      <c r="C65" s="2" t="s">
        <v>302</v>
      </c>
      <c r="D65" s="2" t="s">
        <v>223</v>
      </c>
      <c r="E65" s="16">
        <v>992</v>
      </c>
      <c r="F65" s="14">
        <v>780</v>
      </c>
      <c r="G65" s="14">
        <v>780</v>
      </c>
      <c r="H65" s="14">
        <v>780</v>
      </c>
      <c r="I65" s="15">
        <v>46044</v>
      </c>
      <c r="J65" s="15">
        <v>46418</v>
      </c>
      <c r="K65" s="15">
        <v>46044</v>
      </c>
      <c r="L65" s="15">
        <v>46118</v>
      </c>
      <c r="M65" s="14">
        <v>0.79</v>
      </c>
    </row>
    <row r="66" spans="1:13" ht="15.5">
      <c r="A66" s="2" t="s">
        <v>301</v>
      </c>
      <c r="B66" s="2" t="s">
        <v>211</v>
      </c>
      <c r="C66" s="2" t="s">
        <v>300</v>
      </c>
      <c r="D66" s="2" t="s">
        <v>192</v>
      </c>
      <c r="E66" s="16">
        <v>592</v>
      </c>
      <c r="F66" s="14">
        <v>675</v>
      </c>
      <c r="G66" s="14">
        <v>675</v>
      </c>
      <c r="H66" s="14">
        <v>0</v>
      </c>
      <c r="I66" s="15">
        <v>44998</v>
      </c>
      <c r="J66" s="15">
        <v>46265</v>
      </c>
      <c r="K66" s="15">
        <v>44998</v>
      </c>
      <c r="L66" s="15"/>
      <c r="M66" s="14">
        <v>1.1399999999999999</v>
      </c>
    </row>
    <row r="67" spans="1:13" ht="15.5">
      <c r="A67" s="2" t="s">
        <v>299</v>
      </c>
      <c r="B67" s="2" t="s">
        <v>194</v>
      </c>
      <c r="C67" s="2" t="s">
        <v>298</v>
      </c>
      <c r="D67" s="2" t="s">
        <v>192</v>
      </c>
      <c r="E67" s="16">
        <v>992</v>
      </c>
      <c r="F67" s="14">
        <v>780</v>
      </c>
      <c r="G67" s="14">
        <v>1005</v>
      </c>
      <c r="H67" s="14">
        <v>1005</v>
      </c>
      <c r="I67" s="15">
        <v>46101</v>
      </c>
      <c r="J67" s="15">
        <v>46446</v>
      </c>
      <c r="K67" s="15">
        <v>46101</v>
      </c>
      <c r="L67" s="15"/>
      <c r="M67" s="14">
        <v>1.01</v>
      </c>
    </row>
    <row r="68" spans="1:13" ht="15.5">
      <c r="A68" s="2" t="s">
        <v>297</v>
      </c>
      <c r="B68" s="2" t="s">
        <v>211</v>
      </c>
      <c r="C68" s="2" t="s">
        <v>296</v>
      </c>
      <c r="D68" s="2" t="s">
        <v>192</v>
      </c>
      <c r="E68" s="16">
        <v>592</v>
      </c>
      <c r="F68" s="14">
        <v>675</v>
      </c>
      <c r="G68" s="14">
        <v>695</v>
      </c>
      <c r="H68" s="14">
        <v>350</v>
      </c>
      <c r="I68" s="15">
        <v>45764</v>
      </c>
      <c r="J68" s="15"/>
      <c r="K68" s="15">
        <v>45764</v>
      </c>
      <c r="L68" s="15"/>
      <c r="M68" s="14">
        <v>1.17</v>
      </c>
    </row>
    <row r="69" spans="1:13" ht="15.5">
      <c r="A69" s="2" t="s">
        <v>295</v>
      </c>
      <c r="B69" s="2" t="s">
        <v>194</v>
      </c>
      <c r="C69" s="2" t="s">
        <v>294</v>
      </c>
      <c r="D69" s="2" t="s">
        <v>192</v>
      </c>
      <c r="E69" s="16">
        <v>992</v>
      </c>
      <c r="F69" s="14">
        <v>780</v>
      </c>
      <c r="G69" s="14">
        <v>1005</v>
      </c>
      <c r="H69" s="14">
        <v>0</v>
      </c>
      <c r="I69" s="15">
        <v>45688</v>
      </c>
      <c r="J69" s="15">
        <v>46387</v>
      </c>
      <c r="K69" s="15">
        <v>45688</v>
      </c>
      <c r="L69" s="15"/>
      <c r="M69" s="14">
        <v>1.01</v>
      </c>
    </row>
    <row r="70" spans="1:13" ht="15.5">
      <c r="A70" s="2" t="s">
        <v>293</v>
      </c>
      <c r="B70" s="2" t="s">
        <v>211</v>
      </c>
      <c r="C70" s="2" t="s">
        <v>292</v>
      </c>
      <c r="D70" s="2" t="s">
        <v>192</v>
      </c>
      <c r="E70" s="16">
        <v>592</v>
      </c>
      <c r="F70" s="14">
        <v>675</v>
      </c>
      <c r="G70" s="14">
        <v>845</v>
      </c>
      <c r="H70" s="14">
        <v>350</v>
      </c>
      <c r="I70" s="15">
        <v>45839</v>
      </c>
      <c r="J70" s="15">
        <v>46203</v>
      </c>
      <c r="K70" s="15">
        <v>45839</v>
      </c>
      <c r="L70" s="15"/>
      <c r="M70" s="14">
        <v>1.43</v>
      </c>
    </row>
    <row r="71" spans="1:13" ht="15.5">
      <c r="A71" s="2" t="s">
        <v>291</v>
      </c>
      <c r="B71" s="2" t="s">
        <v>194</v>
      </c>
      <c r="C71" s="2" t="s">
        <v>290</v>
      </c>
      <c r="D71" s="2" t="s">
        <v>192</v>
      </c>
      <c r="E71" s="16">
        <v>992</v>
      </c>
      <c r="F71" s="14">
        <v>780</v>
      </c>
      <c r="G71" s="14">
        <v>1158</v>
      </c>
      <c r="H71" s="14">
        <v>200</v>
      </c>
      <c r="I71" s="15">
        <v>45251</v>
      </c>
      <c r="J71" s="15">
        <v>46326</v>
      </c>
      <c r="K71" s="15">
        <v>45251</v>
      </c>
      <c r="L71" s="15"/>
      <c r="M71" s="14">
        <v>1.17</v>
      </c>
    </row>
    <row r="72" spans="1:13" ht="15.5">
      <c r="A72" s="2" t="s">
        <v>289</v>
      </c>
      <c r="B72" s="2" t="s">
        <v>211</v>
      </c>
      <c r="C72" s="2" t="s">
        <v>288</v>
      </c>
      <c r="D72" s="2" t="s">
        <v>192</v>
      </c>
      <c r="E72" s="16">
        <v>592</v>
      </c>
      <c r="F72" s="14">
        <v>675</v>
      </c>
      <c r="G72" s="14">
        <v>695</v>
      </c>
      <c r="H72" s="14">
        <v>250</v>
      </c>
      <c r="I72" s="15">
        <v>45730</v>
      </c>
      <c r="J72" s="15">
        <v>46265</v>
      </c>
      <c r="K72" s="15">
        <v>45730</v>
      </c>
      <c r="L72" s="15"/>
      <c r="M72" s="14">
        <v>1.17</v>
      </c>
    </row>
    <row r="73" spans="1:13" ht="15.5">
      <c r="A73" s="2" t="s">
        <v>287</v>
      </c>
      <c r="B73" s="2" t="s">
        <v>211</v>
      </c>
      <c r="C73" s="2"/>
      <c r="D73" s="2" t="s">
        <v>234</v>
      </c>
      <c r="E73" s="16">
        <v>592</v>
      </c>
      <c r="F73" s="14">
        <v>675</v>
      </c>
      <c r="G73" s="14"/>
      <c r="H73" s="14">
        <v>0</v>
      </c>
      <c r="I73" s="15"/>
      <c r="J73" s="15"/>
      <c r="K73" s="15"/>
      <c r="L73" s="15"/>
      <c r="M73" s="14"/>
    </row>
    <row r="74" spans="1:13" ht="15.5">
      <c r="A74" s="2" t="s">
        <v>286</v>
      </c>
      <c r="B74" s="2" t="s">
        <v>211</v>
      </c>
      <c r="C74" s="2" t="s">
        <v>285</v>
      </c>
      <c r="D74" s="2" t="s">
        <v>192</v>
      </c>
      <c r="E74" s="16">
        <v>592</v>
      </c>
      <c r="F74" s="14">
        <v>650</v>
      </c>
      <c r="G74" s="14">
        <v>845</v>
      </c>
      <c r="H74" s="14">
        <v>350</v>
      </c>
      <c r="I74" s="15">
        <v>45839</v>
      </c>
      <c r="J74" s="15">
        <v>46203</v>
      </c>
      <c r="K74" s="15">
        <v>45839</v>
      </c>
      <c r="L74" s="15"/>
      <c r="M74" s="14">
        <v>1.43</v>
      </c>
    </row>
    <row r="75" spans="1:13" ht="15.5">
      <c r="A75" s="2" t="s">
        <v>284</v>
      </c>
      <c r="B75" s="2" t="s">
        <v>194</v>
      </c>
      <c r="C75" s="2" t="s">
        <v>283</v>
      </c>
      <c r="D75" s="2" t="s">
        <v>192</v>
      </c>
      <c r="E75" s="16">
        <v>992</v>
      </c>
      <c r="F75" s="14">
        <v>780</v>
      </c>
      <c r="G75" s="14">
        <v>850</v>
      </c>
      <c r="H75" s="14">
        <v>250</v>
      </c>
      <c r="I75" s="15">
        <v>45625</v>
      </c>
      <c r="J75" s="15">
        <v>46326</v>
      </c>
      <c r="K75" s="15">
        <v>45625</v>
      </c>
      <c r="L75" s="15"/>
      <c r="M75" s="14">
        <v>0.86</v>
      </c>
    </row>
    <row r="76" spans="1:13" ht="15.5">
      <c r="A76" s="2" t="s">
        <v>282</v>
      </c>
      <c r="B76" s="2" t="s">
        <v>211</v>
      </c>
      <c r="C76" s="2" t="s">
        <v>281</v>
      </c>
      <c r="D76" s="2" t="s">
        <v>192</v>
      </c>
      <c r="E76" s="16">
        <v>592</v>
      </c>
      <c r="F76" s="14">
        <v>650</v>
      </c>
      <c r="G76" s="14">
        <v>695</v>
      </c>
      <c r="H76" s="14">
        <v>200</v>
      </c>
      <c r="I76" s="15">
        <v>45211</v>
      </c>
      <c r="J76" s="15">
        <v>46295</v>
      </c>
      <c r="K76" s="15">
        <v>45211</v>
      </c>
      <c r="L76" s="15"/>
      <c r="M76" s="14">
        <v>1.17</v>
      </c>
    </row>
    <row r="77" spans="1:13" ht="15.5">
      <c r="A77" s="2" t="s">
        <v>280</v>
      </c>
      <c r="B77" s="2" t="s">
        <v>194</v>
      </c>
      <c r="C77" s="2" t="s">
        <v>279</v>
      </c>
      <c r="D77" s="2" t="s">
        <v>192</v>
      </c>
      <c r="E77" s="16">
        <v>992</v>
      </c>
      <c r="F77" s="14">
        <v>780</v>
      </c>
      <c r="G77" s="14">
        <v>1175</v>
      </c>
      <c r="H77" s="14">
        <v>200</v>
      </c>
      <c r="I77" s="15">
        <v>45240</v>
      </c>
      <c r="J77" s="15"/>
      <c r="K77" s="15">
        <v>45240</v>
      </c>
      <c r="L77" s="15"/>
      <c r="M77" s="14">
        <v>1.18</v>
      </c>
    </row>
    <row r="78" spans="1:13" ht="15.5">
      <c r="A78" s="2" t="s">
        <v>278</v>
      </c>
      <c r="B78" s="2" t="s">
        <v>211</v>
      </c>
      <c r="C78" s="2" t="s">
        <v>277</v>
      </c>
      <c r="D78" s="2" t="s">
        <v>192</v>
      </c>
      <c r="E78" s="16">
        <v>592</v>
      </c>
      <c r="F78" s="14">
        <v>675</v>
      </c>
      <c r="G78" s="14">
        <v>825</v>
      </c>
      <c r="H78" s="14">
        <v>825</v>
      </c>
      <c r="I78" s="15">
        <v>46108</v>
      </c>
      <c r="J78" s="15">
        <v>46446</v>
      </c>
      <c r="K78" s="15">
        <v>46108</v>
      </c>
      <c r="L78" s="15"/>
      <c r="M78" s="14">
        <v>1.39</v>
      </c>
    </row>
    <row r="79" spans="1:13" ht="15.5">
      <c r="A79" s="2" t="s">
        <v>276</v>
      </c>
      <c r="B79" s="2" t="s">
        <v>194</v>
      </c>
      <c r="C79" s="2" t="s">
        <v>275</v>
      </c>
      <c r="D79" s="2" t="s">
        <v>192</v>
      </c>
      <c r="E79" s="16">
        <v>992</v>
      </c>
      <c r="F79" s="14">
        <v>850</v>
      </c>
      <c r="G79" s="14">
        <v>1005</v>
      </c>
      <c r="H79" s="14">
        <v>0</v>
      </c>
      <c r="I79" s="15">
        <v>46096</v>
      </c>
      <c r="J79" s="15">
        <v>46295</v>
      </c>
      <c r="K79" s="15">
        <v>46096</v>
      </c>
      <c r="L79" s="15"/>
      <c r="M79" s="14">
        <v>1.01</v>
      </c>
    </row>
    <row r="80" spans="1:13" ht="15.5">
      <c r="A80" s="2" t="s">
        <v>274</v>
      </c>
      <c r="B80" s="2" t="s">
        <v>211</v>
      </c>
      <c r="C80" s="2" t="s">
        <v>273</v>
      </c>
      <c r="D80" s="2" t="s">
        <v>192</v>
      </c>
      <c r="E80" s="16">
        <v>592</v>
      </c>
      <c r="F80" s="14">
        <v>675</v>
      </c>
      <c r="G80" s="14">
        <v>845</v>
      </c>
      <c r="H80" s="14">
        <v>350</v>
      </c>
      <c r="I80" s="15">
        <v>45853</v>
      </c>
      <c r="J80" s="15">
        <v>46203</v>
      </c>
      <c r="K80" s="15">
        <v>45853</v>
      </c>
      <c r="L80" s="15"/>
      <c r="M80" s="14">
        <v>1.43</v>
      </c>
    </row>
    <row r="81" spans="1:13" ht="15.5">
      <c r="A81" s="2" t="s">
        <v>272</v>
      </c>
      <c r="B81" s="2" t="s">
        <v>194</v>
      </c>
      <c r="C81" s="2" t="s">
        <v>271</v>
      </c>
      <c r="D81" s="2" t="s">
        <v>192</v>
      </c>
      <c r="E81" s="16">
        <v>992</v>
      </c>
      <c r="F81" s="14">
        <v>780</v>
      </c>
      <c r="G81" s="14">
        <v>1075</v>
      </c>
      <c r="H81" s="14">
        <v>250</v>
      </c>
      <c r="I81" s="15">
        <v>45597</v>
      </c>
      <c r="J81" s="15">
        <v>46356</v>
      </c>
      <c r="K81" s="15">
        <v>45597</v>
      </c>
      <c r="L81" s="15"/>
      <c r="M81" s="14">
        <v>1.08</v>
      </c>
    </row>
    <row r="82" spans="1:13" ht="15.5">
      <c r="A82" s="2" t="s">
        <v>270</v>
      </c>
      <c r="B82" s="2" t="s">
        <v>211</v>
      </c>
      <c r="C82" s="2" t="s">
        <v>269</v>
      </c>
      <c r="D82" s="2" t="s">
        <v>192</v>
      </c>
      <c r="E82" s="16">
        <v>592</v>
      </c>
      <c r="F82" s="14">
        <v>675</v>
      </c>
      <c r="G82" s="14">
        <v>945</v>
      </c>
      <c r="H82" s="14">
        <v>350</v>
      </c>
      <c r="I82" s="15">
        <v>45809</v>
      </c>
      <c r="J82" s="15"/>
      <c r="K82" s="15">
        <v>45809</v>
      </c>
      <c r="L82" s="15"/>
      <c r="M82" s="14">
        <v>1.6</v>
      </c>
    </row>
    <row r="83" spans="1:13" ht="15.5">
      <c r="A83" s="2" t="s">
        <v>268</v>
      </c>
      <c r="B83" s="2" t="s">
        <v>194</v>
      </c>
      <c r="C83" s="2" t="s">
        <v>267</v>
      </c>
      <c r="D83" s="2" t="s">
        <v>192</v>
      </c>
      <c r="E83" s="16">
        <v>992</v>
      </c>
      <c r="F83" s="14">
        <v>780</v>
      </c>
      <c r="G83" s="14">
        <v>1005</v>
      </c>
      <c r="H83" s="14">
        <v>350</v>
      </c>
      <c r="I83" s="15">
        <v>45938</v>
      </c>
      <c r="J83" s="15"/>
      <c r="K83" s="15">
        <v>45938</v>
      </c>
      <c r="L83" s="15"/>
      <c r="M83" s="14">
        <v>1.01</v>
      </c>
    </row>
    <row r="84" spans="1:13" ht="15.5">
      <c r="A84" s="2" t="s">
        <v>266</v>
      </c>
      <c r="B84" s="2" t="s">
        <v>211</v>
      </c>
      <c r="C84" s="2" t="s">
        <v>265</v>
      </c>
      <c r="D84" s="2" t="s">
        <v>192</v>
      </c>
      <c r="E84" s="16">
        <v>592</v>
      </c>
      <c r="F84" s="14">
        <v>675</v>
      </c>
      <c r="G84" s="14">
        <v>845</v>
      </c>
      <c r="H84" s="14">
        <v>170</v>
      </c>
      <c r="I84" s="15">
        <v>45566</v>
      </c>
      <c r="J84" s="15">
        <v>46295</v>
      </c>
      <c r="K84" s="15">
        <v>45566</v>
      </c>
      <c r="L84" s="15"/>
      <c r="M84" s="14">
        <v>1.43</v>
      </c>
    </row>
    <row r="85" spans="1:13" ht="15.5">
      <c r="A85" s="2" t="s">
        <v>264</v>
      </c>
      <c r="B85" s="2" t="s">
        <v>194</v>
      </c>
      <c r="C85" s="2" t="s">
        <v>263</v>
      </c>
      <c r="D85" s="2" t="s">
        <v>192</v>
      </c>
      <c r="E85" s="16">
        <v>992</v>
      </c>
      <c r="F85" s="14">
        <v>780</v>
      </c>
      <c r="G85" s="14">
        <v>780</v>
      </c>
      <c r="H85" s="14">
        <v>0</v>
      </c>
      <c r="I85" s="15">
        <v>46106</v>
      </c>
      <c r="J85" s="15">
        <v>46295</v>
      </c>
      <c r="K85" s="15">
        <v>46106</v>
      </c>
      <c r="L85" s="15"/>
      <c r="M85" s="14">
        <v>0.79</v>
      </c>
    </row>
    <row r="86" spans="1:13" ht="15.5">
      <c r="A86" s="2" t="s">
        <v>262</v>
      </c>
      <c r="B86" s="2" t="s">
        <v>211</v>
      </c>
      <c r="C86" s="2" t="s">
        <v>261</v>
      </c>
      <c r="D86" s="2" t="s">
        <v>192</v>
      </c>
      <c r="E86" s="16">
        <v>592</v>
      </c>
      <c r="F86" s="14">
        <v>675</v>
      </c>
      <c r="G86" s="14">
        <v>825</v>
      </c>
      <c r="H86" s="14">
        <v>0</v>
      </c>
      <c r="I86" s="15">
        <v>46082</v>
      </c>
      <c r="J86" s="15">
        <v>46446</v>
      </c>
      <c r="K86" s="15">
        <v>46082</v>
      </c>
      <c r="L86" s="15"/>
      <c r="M86" s="14">
        <v>1.39</v>
      </c>
    </row>
    <row r="87" spans="1:13" ht="15.5">
      <c r="A87" s="2" t="s">
        <v>260</v>
      </c>
      <c r="B87" s="2" t="s">
        <v>194</v>
      </c>
      <c r="C87" s="2" t="s">
        <v>259</v>
      </c>
      <c r="D87" s="2" t="s">
        <v>192</v>
      </c>
      <c r="E87" s="16">
        <v>992</v>
      </c>
      <c r="F87" s="14">
        <v>780</v>
      </c>
      <c r="G87" s="14">
        <v>780</v>
      </c>
      <c r="H87" s="14">
        <v>0</v>
      </c>
      <c r="I87" s="15">
        <v>46054</v>
      </c>
      <c r="J87" s="15">
        <v>46418</v>
      </c>
      <c r="K87" s="15">
        <v>46054</v>
      </c>
      <c r="L87" s="15"/>
      <c r="M87" s="14">
        <v>0.79</v>
      </c>
    </row>
    <row r="88" spans="1:13" ht="15.5">
      <c r="A88" s="2" t="s">
        <v>258</v>
      </c>
      <c r="B88" s="2" t="s">
        <v>211</v>
      </c>
      <c r="C88" s="2" t="s">
        <v>257</v>
      </c>
      <c r="D88" s="2" t="s">
        <v>192</v>
      </c>
      <c r="E88" s="16">
        <v>592</v>
      </c>
      <c r="F88" s="14">
        <v>675</v>
      </c>
      <c r="G88" s="14">
        <v>800</v>
      </c>
      <c r="H88" s="14">
        <v>0</v>
      </c>
      <c r="I88" s="15">
        <v>45044</v>
      </c>
      <c r="J88" s="15">
        <v>46507</v>
      </c>
      <c r="K88" s="15">
        <v>45044</v>
      </c>
      <c r="L88" s="15"/>
      <c r="M88" s="14">
        <v>1.35</v>
      </c>
    </row>
    <row r="89" spans="1:13" ht="15.5">
      <c r="A89" s="2" t="s">
        <v>256</v>
      </c>
      <c r="B89" s="2" t="s">
        <v>194</v>
      </c>
      <c r="C89" s="2" t="s">
        <v>255</v>
      </c>
      <c r="D89" s="2" t="s">
        <v>192</v>
      </c>
      <c r="E89" s="16">
        <v>992</v>
      </c>
      <c r="F89" s="14">
        <v>780</v>
      </c>
      <c r="G89" s="14">
        <v>780</v>
      </c>
      <c r="H89" s="14">
        <v>0</v>
      </c>
      <c r="I89" s="15">
        <v>45705</v>
      </c>
      <c r="J89" s="15">
        <v>46265</v>
      </c>
      <c r="K89" s="15">
        <v>45705</v>
      </c>
      <c r="L89" s="15"/>
      <c r="M89" s="14">
        <v>0.79</v>
      </c>
    </row>
    <row r="90" spans="1:13" ht="15.5">
      <c r="A90" s="2" t="s">
        <v>254</v>
      </c>
      <c r="B90" s="2" t="s">
        <v>211</v>
      </c>
      <c r="C90" s="2" t="s">
        <v>253</v>
      </c>
      <c r="D90" s="2" t="s">
        <v>192</v>
      </c>
      <c r="E90" s="16">
        <v>592</v>
      </c>
      <c r="F90" s="14">
        <v>675</v>
      </c>
      <c r="G90" s="14">
        <v>695</v>
      </c>
      <c r="H90" s="14">
        <v>350</v>
      </c>
      <c r="I90" s="15">
        <v>45922</v>
      </c>
      <c r="J90" s="15">
        <v>46265</v>
      </c>
      <c r="K90" s="15">
        <v>45922</v>
      </c>
      <c r="L90" s="15"/>
      <c r="M90" s="14">
        <v>1.17</v>
      </c>
    </row>
    <row r="91" spans="1:13" ht="15.5">
      <c r="A91" s="2" t="s">
        <v>252</v>
      </c>
      <c r="B91" s="2" t="s">
        <v>194</v>
      </c>
      <c r="C91" s="2" t="s">
        <v>251</v>
      </c>
      <c r="D91" s="2" t="s">
        <v>192</v>
      </c>
      <c r="E91" s="16">
        <v>992</v>
      </c>
      <c r="F91" s="14">
        <v>780</v>
      </c>
      <c r="G91" s="14">
        <v>1005</v>
      </c>
      <c r="H91" s="14">
        <v>0</v>
      </c>
      <c r="I91" s="15">
        <v>45967</v>
      </c>
      <c r="J91" s="15">
        <v>46326</v>
      </c>
      <c r="K91" s="15">
        <v>45967</v>
      </c>
      <c r="L91" s="15"/>
      <c r="M91" s="14">
        <v>1.01</v>
      </c>
    </row>
    <row r="92" spans="1:13" ht="15.5">
      <c r="A92" s="2" t="s">
        <v>250</v>
      </c>
      <c r="B92" s="2" t="s">
        <v>211</v>
      </c>
      <c r="C92" s="2" t="s">
        <v>249</v>
      </c>
      <c r="D92" s="2" t="s">
        <v>192</v>
      </c>
      <c r="E92" s="16">
        <v>592</v>
      </c>
      <c r="F92" s="14">
        <v>675</v>
      </c>
      <c r="G92" s="14">
        <v>695</v>
      </c>
      <c r="H92" s="14">
        <v>0</v>
      </c>
      <c r="I92" s="15">
        <v>44593</v>
      </c>
      <c r="J92" s="15">
        <v>46265</v>
      </c>
      <c r="K92" s="15">
        <v>44805</v>
      </c>
      <c r="L92" s="15"/>
      <c r="M92" s="14">
        <v>1.17</v>
      </c>
    </row>
    <row r="93" spans="1:13" ht="15.5">
      <c r="A93" s="2" t="s">
        <v>248</v>
      </c>
      <c r="B93" s="2" t="s">
        <v>194</v>
      </c>
      <c r="C93" s="2" t="s">
        <v>247</v>
      </c>
      <c r="D93" s="2" t="s">
        <v>192</v>
      </c>
      <c r="E93" s="16">
        <v>992</v>
      </c>
      <c r="F93" s="14">
        <v>780</v>
      </c>
      <c r="G93" s="14">
        <v>780</v>
      </c>
      <c r="H93" s="14">
        <v>0</v>
      </c>
      <c r="I93" s="15">
        <v>46111</v>
      </c>
      <c r="J93" s="15">
        <v>46295</v>
      </c>
      <c r="K93" s="15">
        <v>46111</v>
      </c>
      <c r="L93" s="15"/>
      <c r="M93" s="14">
        <v>0.79</v>
      </c>
    </row>
    <row r="94" spans="1:13" ht="15.5">
      <c r="A94" s="2" t="s">
        <v>246</v>
      </c>
      <c r="B94" s="2" t="s">
        <v>211</v>
      </c>
      <c r="C94" s="2" t="s">
        <v>245</v>
      </c>
      <c r="D94" s="2" t="s">
        <v>192</v>
      </c>
      <c r="E94" s="16">
        <v>592</v>
      </c>
      <c r="F94" s="14">
        <v>675</v>
      </c>
      <c r="G94" s="14">
        <v>952</v>
      </c>
      <c r="H94" s="14">
        <v>0</v>
      </c>
      <c r="I94" s="15">
        <v>44409</v>
      </c>
      <c r="J94" s="15">
        <v>46234</v>
      </c>
      <c r="K94" s="15">
        <v>44805</v>
      </c>
      <c r="L94" s="15"/>
      <c r="M94" s="14">
        <v>1.61</v>
      </c>
    </row>
    <row r="95" spans="1:13" ht="15.5">
      <c r="A95" s="2" t="s">
        <v>244</v>
      </c>
      <c r="B95" s="2" t="s">
        <v>194</v>
      </c>
      <c r="C95" s="2" t="s">
        <v>243</v>
      </c>
      <c r="D95" s="2" t="s">
        <v>192</v>
      </c>
      <c r="E95" s="16">
        <v>992</v>
      </c>
      <c r="F95" s="14">
        <v>780</v>
      </c>
      <c r="G95" s="14">
        <v>1005</v>
      </c>
      <c r="H95" s="14">
        <v>350</v>
      </c>
      <c r="I95" s="15">
        <v>46111</v>
      </c>
      <c r="J95" s="15">
        <v>46446</v>
      </c>
      <c r="K95" s="15">
        <v>46111</v>
      </c>
      <c r="L95" s="15"/>
      <c r="M95" s="14">
        <v>1.01</v>
      </c>
    </row>
    <row r="96" spans="1:13" ht="15.5">
      <c r="A96" s="2" t="s">
        <v>242</v>
      </c>
      <c r="B96" s="2" t="s">
        <v>241</v>
      </c>
      <c r="C96" s="2" t="s">
        <v>240</v>
      </c>
      <c r="D96" s="2" t="s">
        <v>192</v>
      </c>
      <c r="E96" s="16">
        <v>1184</v>
      </c>
      <c r="F96" s="14">
        <v>950</v>
      </c>
      <c r="G96" s="14">
        <v>1300</v>
      </c>
      <c r="H96" s="14">
        <v>250</v>
      </c>
      <c r="I96" s="15">
        <v>45658</v>
      </c>
      <c r="J96" s="15"/>
      <c r="K96" s="15">
        <v>45658</v>
      </c>
      <c r="L96" s="15"/>
      <c r="M96" s="14">
        <v>1.1000000000000001</v>
      </c>
    </row>
    <row r="97" spans="1:13" ht="15.5">
      <c r="A97" s="2" t="s">
        <v>239</v>
      </c>
      <c r="B97" s="2" t="s">
        <v>194</v>
      </c>
      <c r="C97" s="2" t="s">
        <v>238</v>
      </c>
      <c r="D97" s="2" t="s">
        <v>192</v>
      </c>
      <c r="E97" s="16">
        <v>992</v>
      </c>
      <c r="F97" s="14">
        <v>780</v>
      </c>
      <c r="G97" s="14">
        <v>1005</v>
      </c>
      <c r="H97" s="14">
        <v>350</v>
      </c>
      <c r="I97" s="15">
        <v>45905</v>
      </c>
      <c r="J97" s="15">
        <v>46265</v>
      </c>
      <c r="K97" s="15">
        <v>45905</v>
      </c>
      <c r="L97" s="15"/>
      <c r="M97" s="14">
        <v>1.01</v>
      </c>
    </row>
    <row r="98" spans="1:13" ht="15.5">
      <c r="A98" s="2" t="s">
        <v>237</v>
      </c>
      <c r="B98" s="2" t="s">
        <v>211</v>
      </c>
      <c r="C98" s="2" t="s">
        <v>236</v>
      </c>
      <c r="D98" s="2" t="s">
        <v>192</v>
      </c>
      <c r="E98" s="16">
        <v>592</v>
      </c>
      <c r="F98" s="14">
        <v>675</v>
      </c>
      <c r="G98" s="14">
        <v>952</v>
      </c>
      <c r="H98" s="14">
        <v>0</v>
      </c>
      <c r="I98" s="15">
        <v>44965</v>
      </c>
      <c r="J98" s="15">
        <v>46418</v>
      </c>
      <c r="K98" s="15">
        <v>44965</v>
      </c>
      <c r="L98" s="15"/>
      <c r="M98" s="14">
        <v>1.61</v>
      </c>
    </row>
    <row r="99" spans="1:13" ht="15.5">
      <c r="A99" s="2" t="s">
        <v>235</v>
      </c>
      <c r="B99" s="2" t="s">
        <v>211</v>
      </c>
      <c r="C99" s="2"/>
      <c r="D99" s="2" t="s">
        <v>234</v>
      </c>
      <c r="E99" s="16">
        <v>592</v>
      </c>
      <c r="F99" s="14">
        <v>675</v>
      </c>
      <c r="G99" s="14"/>
      <c r="H99" s="14">
        <v>0</v>
      </c>
      <c r="I99" s="15"/>
      <c r="J99" s="15"/>
      <c r="K99" s="15"/>
      <c r="L99" s="15"/>
      <c r="M99" s="14"/>
    </row>
    <row r="100" spans="1:13" ht="15.5">
      <c r="A100" s="2" t="s">
        <v>233</v>
      </c>
      <c r="B100" s="2" t="s">
        <v>211</v>
      </c>
      <c r="C100" s="2" t="s">
        <v>232</v>
      </c>
      <c r="D100" s="2" t="s">
        <v>192</v>
      </c>
      <c r="E100" s="16">
        <v>592</v>
      </c>
      <c r="F100" s="14">
        <v>675</v>
      </c>
      <c r="G100" s="14">
        <v>845</v>
      </c>
      <c r="H100" s="14">
        <v>210</v>
      </c>
      <c r="I100" s="15">
        <v>45448</v>
      </c>
      <c r="J100" s="15">
        <v>46538</v>
      </c>
      <c r="K100" s="15">
        <v>45448</v>
      </c>
      <c r="L100" s="15"/>
      <c r="M100" s="14">
        <v>1.43</v>
      </c>
    </row>
    <row r="101" spans="1:13" ht="15.5">
      <c r="A101" s="2" t="s">
        <v>231</v>
      </c>
      <c r="B101" s="2" t="s">
        <v>194</v>
      </c>
      <c r="C101" s="2" t="s">
        <v>230</v>
      </c>
      <c r="D101" s="2" t="s">
        <v>192</v>
      </c>
      <c r="E101" s="16">
        <v>992</v>
      </c>
      <c r="F101" s="14">
        <v>780</v>
      </c>
      <c r="G101" s="14">
        <v>780</v>
      </c>
      <c r="H101" s="14">
        <v>0</v>
      </c>
      <c r="I101" s="15">
        <v>45706</v>
      </c>
      <c r="J101" s="15">
        <v>46234</v>
      </c>
      <c r="K101" s="15">
        <v>45706</v>
      </c>
      <c r="L101" s="15"/>
      <c r="M101" s="14">
        <v>0.79</v>
      </c>
    </row>
    <row r="102" spans="1:13" ht="15.5">
      <c r="A102" s="2" t="s">
        <v>229</v>
      </c>
      <c r="B102" s="2" t="s">
        <v>211</v>
      </c>
      <c r="C102" s="2" t="s">
        <v>228</v>
      </c>
      <c r="D102" s="2" t="s">
        <v>192</v>
      </c>
      <c r="E102" s="16">
        <v>592</v>
      </c>
      <c r="F102" s="14">
        <v>675</v>
      </c>
      <c r="G102" s="14">
        <v>845</v>
      </c>
      <c r="H102" s="14">
        <v>250</v>
      </c>
      <c r="I102" s="15">
        <v>45733</v>
      </c>
      <c r="J102" s="15">
        <v>46265</v>
      </c>
      <c r="K102" s="15">
        <v>45733</v>
      </c>
      <c r="L102" s="15"/>
      <c r="M102" s="14">
        <v>1.43</v>
      </c>
    </row>
    <row r="103" spans="1:13" ht="15.5">
      <c r="A103" s="2" t="s">
        <v>227</v>
      </c>
      <c r="B103" s="2" t="s">
        <v>194</v>
      </c>
      <c r="C103" s="2" t="s">
        <v>226</v>
      </c>
      <c r="D103" s="2" t="s">
        <v>192</v>
      </c>
      <c r="E103" s="16">
        <v>992</v>
      </c>
      <c r="F103" s="14">
        <v>780</v>
      </c>
      <c r="G103" s="14">
        <v>780</v>
      </c>
      <c r="H103" s="14">
        <v>780</v>
      </c>
      <c r="I103" s="15">
        <v>46059</v>
      </c>
      <c r="J103" s="15">
        <v>46418</v>
      </c>
      <c r="K103" s="15">
        <v>46059</v>
      </c>
      <c r="L103" s="15"/>
      <c r="M103" s="14">
        <v>0.79</v>
      </c>
    </row>
    <row r="104" spans="1:13" ht="15.5">
      <c r="A104" s="2" t="s">
        <v>225</v>
      </c>
      <c r="B104" s="2" t="s">
        <v>211</v>
      </c>
      <c r="C104" s="2" t="s">
        <v>224</v>
      </c>
      <c r="D104" s="2" t="s">
        <v>223</v>
      </c>
      <c r="E104" s="16">
        <v>592</v>
      </c>
      <c r="F104" s="14">
        <v>675</v>
      </c>
      <c r="G104" s="14">
        <v>845</v>
      </c>
      <c r="H104" s="14">
        <v>350</v>
      </c>
      <c r="I104" s="15">
        <v>45755</v>
      </c>
      <c r="J104" s="15"/>
      <c r="K104" s="15">
        <v>45755</v>
      </c>
      <c r="L104" s="15">
        <v>46112</v>
      </c>
      <c r="M104" s="14">
        <v>1.43</v>
      </c>
    </row>
    <row r="105" spans="1:13" ht="15.5">
      <c r="A105" s="2" t="s">
        <v>222</v>
      </c>
      <c r="B105" s="2" t="s">
        <v>194</v>
      </c>
      <c r="C105" s="2" t="s">
        <v>221</v>
      </c>
      <c r="D105" s="2" t="s">
        <v>192</v>
      </c>
      <c r="E105" s="16">
        <v>992</v>
      </c>
      <c r="F105" s="14">
        <v>780</v>
      </c>
      <c r="G105" s="14">
        <v>780</v>
      </c>
      <c r="H105" s="14">
        <v>0</v>
      </c>
      <c r="I105" s="15">
        <v>45706</v>
      </c>
      <c r="J105" s="15">
        <v>46234</v>
      </c>
      <c r="K105" s="15">
        <v>45706</v>
      </c>
      <c r="L105" s="15"/>
      <c r="M105" s="14">
        <v>0.79</v>
      </c>
    </row>
    <row r="106" spans="1:13" ht="15.5">
      <c r="A106" s="2" t="s">
        <v>220</v>
      </c>
      <c r="B106" s="2" t="s">
        <v>211</v>
      </c>
      <c r="C106" s="2" t="s">
        <v>219</v>
      </c>
      <c r="D106" s="2" t="s">
        <v>192</v>
      </c>
      <c r="E106" s="16">
        <v>592</v>
      </c>
      <c r="F106" s="14">
        <v>675</v>
      </c>
      <c r="G106" s="14">
        <v>845</v>
      </c>
      <c r="H106" s="14">
        <v>198</v>
      </c>
      <c r="I106" s="15">
        <v>45329</v>
      </c>
      <c r="J106" s="15">
        <v>46234</v>
      </c>
      <c r="K106" s="15">
        <v>45329</v>
      </c>
      <c r="L106" s="15"/>
      <c r="M106" s="14">
        <v>1.43</v>
      </c>
    </row>
    <row r="107" spans="1:13" ht="15.5">
      <c r="A107" s="2" t="s">
        <v>218</v>
      </c>
      <c r="B107" s="2" t="s">
        <v>194</v>
      </c>
      <c r="C107" s="2" t="s">
        <v>217</v>
      </c>
      <c r="D107" s="2" t="s">
        <v>216</v>
      </c>
      <c r="E107" s="16">
        <v>992</v>
      </c>
      <c r="F107" s="14">
        <v>780</v>
      </c>
      <c r="G107" s="14">
        <v>1005</v>
      </c>
      <c r="H107" s="14">
        <v>350</v>
      </c>
      <c r="I107" s="15">
        <v>45945</v>
      </c>
      <c r="J107" s="15">
        <v>46142</v>
      </c>
      <c r="K107" s="15">
        <v>45945</v>
      </c>
      <c r="L107" s="15"/>
      <c r="M107" s="14">
        <v>1.01</v>
      </c>
    </row>
    <row r="108" spans="1:13" ht="15.5">
      <c r="A108" s="2" t="s">
        <v>215</v>
      </c>
      <c r="B108" s="2" t="s">
        <v>211</v>
      </c>
      <c r="C108" s="2" t="s">
        <v>214</v>
      </c>
      <c r="D108" s="2" t="s">
        <v>192</v>
      </c>
      <c r="E108" s="16">
        <v>592</v>
      </c>
      <c r="F108" s="14">
        <v>675</v>
      </c>
      <c r="G108" s="14">
        <v>825</v>
      </c>
      <c r="H108" s="14">
        <v>350</v>
      </c>
      <c r="I108" s="15">
        <v>46064</v>
      </c>
      <c r="J108" s="15">
        <v>46418</v>
      </c>
      <c r="K108" s="15">
        <v>46064</v>
      </c>
      <c r="L108" s="15"/>
      <c r="M108" s="14">
        <v>1.39</v>
      </c>
    </row>
    <row r="109" spans="1:13" ht="15.5">
      <c r="A109" s="2" t="s">
        <v>213</v>
      </c>
      <c r="B109" s="2" t="s">
        <v>194</v>
      </c>
      <c r="C109" s="2"/>
      <c r="D109" s="2" t="s">
        <v>208</v>
      </c>
      <c r="E109" s="16">
        <v>992</v>
      </c>
      <c r="F109" s="14">
        <v>780</v>
      </c>
      <c r="G109" s="14"/>
      <c r="H109" s="14">
        <v>0</v>
      </c>
      <c r="I109" s="15"/>
      <c r="J109" s="15"/>
      <c r="K109" s="15"/>
      <c r="L109" s="15"/>
      <c r="M109" s="14"/>
    </row>
    <row r="110" spans="1:13" ht="15.5">
      <c r="A110" s="2" t="s">
        <v>212</v>
      </c>
      <c r="B110" s="2" t="s">
        <v>211</v>
      </c>
      <c r="C110" s="2" t="s">
        <v>210</v>
      </c>
      <c r="D110" s="2" t="s">
        <v>192</v>
      </c>
      <c r="E110" s="16">
        <v>592</v>
      </c>
      <c r="F110" s="14">
        <v>675</v>
      </c>
      <c r="G110" s="14">
        <v>845</v>
      </c>
      <c r="H110" s="14">
        <v>1005</v>
      </c>
      <c r="I110" s="15">
        <v>45962</v>
      </c>
      <c r="J110" s="15">
        <v>46326</v>
      </c>
      <c r="K110" s="15">
        <v>45962</v>
      </c>
      <c r="L110" s="15"/>
      <c r="M110" s="14">
        <v>1.43</v>
      </c>
    </row>
    <row r="111" spans="1:13" ht="15.5">
      <c r="A111" s="2" t="s">
        <v>209</v>
      </c>
      <c r="B111" s="2" t="s">
        <v>194</v>
      </c>
      <c r="C111" s="2"/>
      <c r="D111" s="2" t="s">
        <v>208</v>
      </c>
      <c r="E111" s="16">
        <v>992</v>
      </c>
      <c r="F111" s="14">
        <v>780</v>
      </c>
      <c r="G111" s="14"/>
      <c r="H111" s="14">
        <v>0</v>
      </c>
      <c r="I111" s="15"/>
      <c r="J111" s="15"/>
      <c r="K111" s="15"/>
      <c r="L111" s="15"/>
      <c r="M111" s="14"/>
    </row>
    <row r="112" spans="1:13" ht="15.5">
      <c r="A112" s="2" t="s">
        <v>207</v>
      </c>
      <c r="B112" s="2" t="s">
        <v>194</v>
      </c>
      <c r="C112" s="2" t="s">
        <v>206</v>
      </c>
      <c r="D112" s="2" t="s">
        <v>192</v>
      </c>
      <c r="E112" s="16">
        <v>992</v>
      </c>
      <c r="F112" s="14">
        <v>780</v>
      </c>
      <c r="G112" s="14">
        <v>780</v>
      </c>
      <c r="H112" s="14">
        <v>350</v>
      </c>
      <c r="I112" s="15">
        <v>45947</v>
      </c>
      <c r="J112" s="15">
        <v>46295</v>
      </c>
      <c r="K112" s="15">
        <v>45947</v>
      </c>
      <c r="L112" s="15"/>
      <c r="M112" s="14">
        <v>0.79</v>
      </c>
    </row>
    <row r="113" spans="1:13" ht="15.5">
      <c r="A113" s="2" t="s">
        <v>205</v>
      </c>
      <c r="B113" s="2" t="s">
        <v>194</v>
      </c>
      <c r="C113" s="2" t="s">
        <v>204</v>
      </c>
      <c r="D113" s="2" t="s">
        <v>192</v>
      </c>
      <c r="E113" s="16">
        <v>992</v>
      </c>
      <c r="F113" s="14">
        <v>780</v>
      </c>
      <c r="G113" s="14">
        <v>1005</v>
      </c>
      <c r="H113" s="14">
        <v>0</v>
      </c>
      <c r="I113" s="15">
        <v>45712</v>
      </c>
      <c r="J113" s="15">
        <v>46418</v>
      </c>
      <c r="K113" s="15">
        <v>45712</v>
      </c>
      <c r="L113" s="15"/>
      <c r="M113" s="14">
        <v>1.01</v>
      </c>
    </row>
    <row r="114" spans="1:13" ht="15.5">
      <c r="A114" s="2" t="s">
        <v>203</v>
      </c>
      <c r="B114" s="2" t="s">
        <v>194</v>
      </c>
      <c r="C114" s="2" t="s">
        <v>202</v>
      </c>
      <c r="D114" s="2" t="s">
        <v>192</v>
      </c>
      <c r="E114" s="16">
        <v>992</v>
      </c>
      <c r="F114" s="14">
        <v>780</v>
      </c>
      <c r="G114" s="14">
        <v>1158</v>
      </c>
      <c r="H114" s="14">
        <v>900</v>
      </c>
      <c r="I114" s="15">
        <v>45413</v>
      </c>
      <c r="J114" s="15">
        <v>46142</v>
      </c>
      <c r="K114" s="15">
        <v>45050</v>
      </c>
      <c r="L114" s="15"/>
      <c r="M114" s="14">
        <v>1.17</v>
      </c>
    </row>
    <row r="115" spans="1:13" ht="15.5">
      <c r="A115" s="2" t="s">
        <v>201</v>
      </c>
      <c r="B115" s="2" t="s">
        <v>194</v>
      </c>
      <c r="C115" s="2" t="s">
        <v>200</v>
      </c>
      <c r="D115" s="2" t="s">
        <v>192</v>
      </c>
      <c r="E115" s="16">
        <v>992</v>
      </c>
      <c r="F115" s="14">
        <v>780</v>
      </c>
      <c r="G115" s="14">
        <v>1005</v>
      </c>
      <c r="H115" s="14">
        <v>350</v>
      </c>
      <c r="I115" s="15">
        <v>45819</v>
      </c>
      <c r="J115" s="15">
        <v>46203</v>
      </c>
      <c r="K115" s="15">
        <v>45819</v>
      </c>
      <c r="L115" s="15"/>
      <c r="M115" s="14">
        <v>1.01</v>
      </c>
    </row>
    <row r="116" spans="1:13" ht="15.5">
      <c r="A116" s="2" t="s">
        <v>199</v>
      </c>
      <c r="B116" s="2" t="s">
        <v>194</v>
      </c>
      <c r="C116" s="2" t="s">
        <v>198</v>
      </c>
      <c r="D116" s="2" t="s">
        <v>192</v>
      </c>
      <c r="E116" s="16">
        <v>992</v>
      </c>
      <c r="F116" s="14">
        <v>780</v>
      </c>
      <c r="G116" s="14">
        <v>850</v>
      </c>
      <c r="H116" s="14">
        <v>200</v>
      </c>
      <c r="I116" s="15">
        <v>45271</v>
      </c>
      <c r="J116" s="15">
        <v>46356</v>
      </c>
      <c r="K116" s="15">
        <v>45271</v>
      </c>
      <c r="L116" s="15"/>
      <c r="M116" s="14">
        <v>0.86</v>
      </c>
    </row>
    <row r="117" spans="1:13" ht="15.5">
      <c r="A117" s="2" t="s">
        <v>197</v>
      </c>
      <c r="B117" s="2" t="s">
        <v>194</v>
      </c>
      <c r="C117" s="2" t="s">
        <v>196</v>
      </c>
      <c r="D117" s="2" t="s">
        <v>192</v>
      </c>
      <c r="E117" s="16">
        <v>992</v>
      </c>
      <c r="F117" s="14">
        <v>780</v>
      </c>
      <c r="G117" s="14">
        <v>780</v>
      </c>
      <c r="H117" s="14">
        <v>0</v>
      </c>
      <c r="I117" s="15">
        <v>46085</v>
      </c>
      <c r="J117" s="15">
        <v>46446</v>
      </c>
      <c r="K117" s="15">
        <v>46085</v>
      </c>
      <c r="L117" s="15"/>
      <c r="M117" s="14">
        <v>0.79</v>
      </c>
    </row>
    <row r="118" spans="1:13" ht="15.5">
      <c r="A118" s="2" t="s">
        <v>195</v>
      </c>
      <c r="B118" s="2" t="s">
        <v>194</v>
      </c>
      <c r="C118" s="2" t="s">
        <v>193</v>
      </c>
      <c r="D118" s="2" t="s">
        <v>192</v>
      </c>
      <c r="E118" s="16">
        <v>992</v>
      </c>
      <c r="F118" s="14">
        <v>780</v>
      </c>
      <c r="G118" s="14">
        <v>780</v>
      </c>
      <c r="H118" s="14">
        <v>0</v>
      </c>
      <c r="I118" s="15">
        <v>46082</v>
      </c>
      <c r="J118" s="15">
        <v>46446</v>
      </c>
      <c r="K118" s="15">
        <v>46082</v>
      </c>
      <c r="L118" s="15"/>
      <c r="M118" s="14">
        <v>0.79</v>
      </c>
    </row>
    <row r="119" spans="1:13" ht="15.5">
      <c r="A119" s="3" t="s">
        <v>191</v>
      </c>
      <c r="B119" s="3"/>
      <c r="C119" s="3"/>
      <c r="D119" s="3" t="s">
        <v>189</v>
      </c>
      <c r="E119" s="13">
        <v>83440</v>
      </c>
      <c r="F119" s="11">
        <v>81080</v>
      </c>
      <c r="G119" s="11">
        <v>90922</v>
      </c>
      <c r="H119" s="11">
        <v>22173</v>
      </c>
      <c r="I119" s="12"/>
      <c r="J119" s="12"/>
      <c r="K119" s="12"/>
      <c r="L119" s="12"/>
      <c r="M119" s="11">
        <v>1.17604</v>
      </c>
    </row>
    <row r="121" spans="1:13" ht="15.5">
      <c r="A121" s="3" t="s">
        <v>190</v>
      </c>
      <c r="B121" s="3"/>
      <c r="C121" s="3"/>
      <c r="D121" s="3" t="s">
        <v>189</v>
      </c>
      <c r="E121" s="13">
        <v>83440</v>
      </c>
      <c r="F121" s="11">
        <v>81080</v>
      </c>
      <c r="G121" s="11">
        <v>90922</v>
      </c>
      <c r="H121" s="11">
        <v>22173</v>
      </c>
      <c r="I121" s="12"/>
      <c r="J121" s="12"/>
      <c r="K121" s="12"/>
      <c r="L121" s="12"/>
      <c r="M121" s="11">
        <v>1.17604</v>
      </c>
    </row>
  </sheetData>
  <mergeCells count="5">
    <mergeCell ref="A4:M4"/>
    <mergeCell ref="A5:M5"/>
    <mergeCell ref="A1:M1"/>
    <mergeCell ref="A2:M2"/>
    <mergeCell ref="A3:M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263DD-87B2-4E82-AAF5-E58A47D59F33}">
  <dimension ref="A1:N57"/>
  <sheetViews>
    <sheetView workbookViewId="0">
      <selection sqref="A1:N1"/>
    </sheetView>
  </sheetViews>
  <sheetFormatPr defaultColWidth="7.4140625" defaultRowHeight="12.5"/>
  <cols>
    <col min="1" max="1" width="39.83203125" style="19" customWidth="1"/>
    <col min="2" max="6" width="7.75" style="19" customWidth="1"/>
    <col min="7" max="7" width="8.6640625" style="19" customWidth="1"/>
    <col min="8" max="13" width="7.75" style="19" customWidth="1"/>
    <col min="14" max="14" width="9.6640625" style="19" customWidth="1"/>
    <col min="15" max="16384" width="7.4140625" style="19"/>
  </cols>
  <sheetData>
    <row r="1" spans="1:14" ht="15.75" customHeight="1">
      <c r="A1" s="48" t="s">
        <v>496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6"/>
    </row>
    <row r="2" spans="1:14" ht="15.75" customHeight="1">
      <c r="A2" s="48" t="s">
        <v>495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6"/>
    </row>
    <row r="3" spans="1:14" ht="11" customHeight="1">
      <c r="A3" s="45" t="s">
        <v>494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3"/>
    </row>
    <row r="4" spans="1:14" ht="11" customHeight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11" customHeight="1">
      <c r="A5" s="20"/>
      <c r="B5" s="41" t="s">
        <v>493</v>
      </c>
      <c r="C5" s="41" t="s">
        <v>492</v>
      </c>
      <c r="D5" s="41" t="s">
        <v>491</v>
      </c>
      <c r="E5" s="41" t="s">
        <v>490</v>
      </c>
      <c r="F5" s="42" t="s">
        <v>489</v>
      </c>
      <c r="G5" s="41" t="s">
        <v>488</v>
      </c>
      <c r="H5" s="41" t="s">
        <v>487</v>
      </c>
      <c r="I5" s="41" t="s">
        <v>486</v>
      </c>
      <c r="J5" s="41" t="s">
        <v>485</v>
      </c>
      <c r="K5" s="41" t="s">
        <v>484</v>
      </c>
      <c r="L5" s="41" t="s">
        <v>483</v>
      </c>
      <c r="M5" s="41" t="s">
        <v>482</v>
      </c>
      <c r="N5" s="40" t="s">
        <v>20</v>
      </c>
    </row>
    <row r="6" spans="1:14" ht="11" customHeight="1">
      <c r="A6" s="23" t="s">
        <v>481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</row>
    <row r="7" spans="1:14" ht="11" customHeight="1">
      <c r="A7" s="34" t="s">
        <v>480</v>
      </c>
      <c r="B7" s="26">
        <v>122840.49</v>
      </c>
      <c r="C7" s="26">
        <v>123040.73</v>
      </c>
      <c r="D7" s="26">
        <v>121596.41</v>
      </c>
      <c r="E7" s="26">
        <v>121318.15</v>
      </c>
      <c r="F7" s="39">
        <v>123154.81</v>
      </c>
      <c r="G7" s="26">
        <v>130433.66</v>
      </c>
      <c r="H7" s="26">
        <v>128103.55</v>
      </c>
      <c r="I7" s="26">
        <v>133464.29</v>
      </c>
      <c r="J7" s="26">
        <v>139847.48000000001</v>
      </c>
      <c r="K7" s="26">
        <v>141809.5</v>
      </c>
      <c r="L7" s="26">
        <v>136166.73000000001</v>
      </c>
      <c r="M7" s="26">
        <v>140383.67999999999</v>
      </c>
      <c r="N7" s="26">
        <v>1562159.48</v>
      </c>
    </row>
    <row r="8" spans="1:14" ht="11" customHeight="1">
      <c r="A8" s="34" t="s">
        <v>479</v>
      </c>
      <c r="B8" s="21">
        <v>122840.49</v>
      </c>
      <c r="C8" s="21">
        <v>123040.73</v>
      </c>
      <c r="D8" s="21">
        <v>121596.41</v>
      </c>
      <c r="E8" s="21">
        <v>121318.15</v>
      </c>
      <c r="F8" s="32">
        <v>123154.81</v>
      </c>
      <c r="G8" s="21">
        <v>130433.66</v>
      </c>
      <c r="H8" s="21">
        <v>128103.55</v>
      </c>
      <c r="I8" s="21">
        <v>133464.29</v>
      </c>
      <c r="J8" s="21">
        <v>139847.48000000001</v>
      </c>
      <c r="K8" s="21">
        <v>141809.5</v>
      </c>
      <c r="L8" s="21">
        <v>136166.73000000001</v>
      </c>
      <c r="M8" s="21">
        <v>140383.67999999999</v>
      </c>
      <c r="N8" s="21">
        <v>1562159.48</v>
      </c>
    </row>
    <row r="9" spans="1:14" ht="11" customHeight="1">
      <c r="A9" s="34" t="s">
        <v>478</v>
      </c>
      <c r="B9" s="38">
        <v>-200</v>
      </c>
      <c r="C9" s="38">
        <v>-400</v>
      </c>
      <c r="D9" s="38">
        <v>-425</v>
      </c>
      <c r="E9" s="38">
        <v>-850</v>
      </c>
      <c r="F9" s="38">
        <v>-510</v>
      </c>
      <c r="G9" s="37">
        <v>-2965</v>
      </c>
      <c r="H9" s="37">
        <v>-1105</v>
      </c>
      <c r="I9" s="38">
        <v>-840</v>
      </c>
      <c r="J9" s="37">
        <v>-1401</v>
      </c>
      <c r="K9" s="37">
        <v>-1309</v>
      </c>
      <c r="L9" s="38">
        <v>-850</v>
      </c>
      <c r="M9" s="37">
        <v>-1399.68</v>
      </c>
      <c r="N9" s="37">
        <v>-12254.68</v>
      </c>
    </row>
    <row r="10" spans="1:14" ht="11" customHeight="1">
      <c r="A10" s="34" t="s">
        <v>477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4" ht="11" customHeight="1">
      <c r="A11" s="34" t="s">
        <v>476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35</v>
      </c>
      <c r="K11" s="30">
        <v>35</v>
      </c>
      <c r="L11" s="30">
        <v>0</v>
      </c>
      <c r="M11" s="30">
        <v>140</v>
      </c>
      <c r="N11" s="30">
        <v>210</v>
      </c>
    </row>
    <row r="12" spans="1:14" ht="11" customHeight="1">
      <c r="A12" s="34" t="s">
        <v>475</v>
      </c>
      <c r="B12" s="30">
        <v>0</v>
      </c>
      <c r="C12" s="30">
        <v>0</v>
      </c>
      <c r="D12" s="30">
        <v>0</v>
      </c>
      <c r="E12" s="30">
        <v>200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200</v>
      </c>
    </row>
    <row r="13" spans="1:14" ht="10" customHeight="1">
      <c r="A13" s="34" t="s">
        <v>474</v>
      </c>
      <c r="B13" s="30">
        <v>0</v>
      </c>
      <c r="C13" s="30">
        <v>0</v>
      </c>
      <c r="D13" s="30">
        <v>200</v>
      </c>
      <c r="E13" s="30">
        <v>100</v>
      </c>
      <c r="F13" s="30">
        <v>0</v>
      </c>
      <c r="G13" s="30">
        <v>100</v>
      </c>
      <c r="H13" s="30">
        <v>50</v>
      </c>
      <c r="I13" s="30">
        <v>300</v>
      </c>
      <c r="J13" s="30">
        <v>300</v>
      </c>
      <c r="K13" s="30">
        <v>0</v>
      </c>
      <c r="L13" s="30">
        <v>0</v>
      </c>
      <c r="M13" s="30">
        <v>0</v>
      </c>
      <c r="N13" s="26">
        <v>1050</v>
      </c>
    </row>
    <row r="14" spans="1:14" ht="11" customHeight="1">
      <c r="A14" s="34" t="s">
        <v>473</v>
      </c>
      <c r="B14" s="30">
        <v>0</v>
      </c>
      <c r="C14" s="30">
        <v>0</v>
      </c>
      <c r="D14" s="30">
        <v>268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268</v>
      </c>
    </row>
    <row r="15" spans="1:14" ht="11" customHeight="1">
      <c r="A15" s="34" t="s">
        <v>472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</row>
    <row r="16" spans="1:14" ht="11" customHeight="1">
      <c r="A16" s="34" t="s">
        <v>471</v>
      </c>
      <c r="B16" s="30">
        <v>0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</row>
    <row r="17" spans="1:14" ht="11" customHeight="1">
      <c r="A17" s="34" t="s">
        <v>470</v>
      </c>
      <c r="B17" s="26">
        <v>1350.84</v>
      </c>
      <c r="C17" s="30">
        <v>563</v>
      </c>
      <c r="D17" s="30">
        <v>772.5</v>
      </c>
      <c r="E17" s="30">
        <v>742</v>
      </c>
      <c r="F17" s="31">
        <v>220</v>
      </c>
      <c r="G17" s="26">
        <v>1244</v>
      </c>
      <c r="H17" s="30">
        <v>881.7</v>
      </c>
      <c r="I17" s="30">
        <v>279.5</v>
      </c>
      <c r="J17" s="30">
        <v>546</v>
      </c>
      <c r="K17" s="30">
        <v>388.2</v>
      </c>
      <c r="L17" s="30">
        <v>0</v>
      </c>
      <c r="M17" s="30">
        <v>725.17</v>
      </c>
      <c r="N17" s="26">
        <v>7712.91</v>
      </c>
    </row>
    <row r="18" spans="1:14" ht="11" customHeight="1">
      <c r="A18" s="34" t="s">
        <v>469</v>
      </c>
      <c r="B18" s="30">
        <v>140</v>
      </c>
      <c r="C18" s="30">
        <v>101</v>
      </c>
      <c r="D18" s="30">
        <v>59</v>
      </c>
      <c r="E18" s="30">
        <v>90</v>
      </c>
      <c r="F18" s="30">
        <v>50</v>
      </c>
      <c r="G18" s="30">
        <v>110</v>
      </c>
      <c r="H18" s="30">
        <v>65</v>
      </c>
      <c r="I18" s="30">
        <v>65</v>
      </c>
      <c r="J18" s="30">
        <v>70</v>
      </c>
      <c r="K18" s="30">
        <v>80</v>
      </c>
      <c r="L18" s="30">
        <v>50</v>
      </c>
      <c r="M18" s="30">
        <v>80</v>
      </c>
      <c r="N18" s="30">
        <v>960</v>
      </c>
    </row>
    <row r="19" spans="1:14" ht="11" customHeight="1">
      <c r="A19" s="34" t="s">
        <v>468</v>
      </c>
      <c r="B19" s="21">
        <v>1490.84</v>
      </c>
      <c r="C19" s="35">
        <v>664</v>
      </c>
      <c r="D19" s="21">
        <v>1299.5</v>
      </c>
      <c r="E19" s="21">
        <v>1132</v>
      </c>
      <c r="F19" s="36">
        <v>270</v>
      </c>
      <c r="G19" s="21">
        <v>1454</v>
      </c>
      <c r="H19" s="35">
        <v>996.7</v>
      </c>
      <c r="I19" s="35">
        <v>644.5</v>
      </c>
      <c r="J19" s="35">
        <v>951</v>
      </c>
      <c r="K19" s="35">
        <v>503.2</v>
      </c>
      <c r="L19" s="35">
        <v>50</v>
      </c>
      <c r="M19" s="35">
        <v>945.17</v>
      </c>
      <c r="N19" s="21">
        <v>10400.91</v>
      </c>
    </row>
    <row r="20" spans="1:14" ht="11" customHeight="1">
      <c r="A20" s="34" t="s">
        <v>467</v>
      </c>
      <c r="B20" s="30">
        <v>707</v>
      </c>
      <c r="C20" s="30">
        <v>625</v>
      </c>
      <c r="D20" s="30">
        <v>645</v>
      </c>
      <c r="E20" s="30">
        <v>505</v>
      </c>
      <c r="F20" s="31">
        <v>410</v>
      </c>
      <c r="G20" s="30">
        <v>525</v>
      </c>
      <c r="H20" s="30">
        <v>375</v>
      </c>
      <c r="I20" s="30">
        <v>485</v>
      </c>
      <c r="J20" s="30">
        <v>505</v>
      </c>
      <c r="K20" s="30">
        <v>405</v>
      </c>
      <c r="L20" s="30">
        <v>480</v>
      </c>
      <c r="M20" s="30">
        <v>455</v>
      </c>
      <c r="N20" s="26">
        <v>6122</v>
      </c>
    </row>
    <row r="21" spans="1:14" ht="11" customHeight="1">
      <c r="A21" s="34" t="s">
        <v>466</v>
      </c>
      <c r="B21" s="30">
        <v>25</v>
      </c>
      <c r="C21" s="30">
        <v>0</v>
      </c>
      <c r="D21" s="30">
        <v>60</v>
      </c>
      <c r="E21" s="30">
        <v>60</v>
      </c>
      <c r="F21" s="30">
        <v>0</v>
      </c>
      <c r="G21" s="30">
        <v>40</v>
      </c>
      <c r="H21" s="30">
        <v>0</v>
      </c>
      <c r="I21" s="30">
        <v>100</v>
      </c>
      <c r="J21" s="30">
        <v>0</v>
      </c>
      <c r="K21" s="30">
        <v>0</v>
      </c>
      <c r="L21" s="30">
        <v>0</v>
      </c>
      <c r="M21" s="30">
        <v>0</v>
      </c>
      <c r="N21" s="30">
        <v>285</v>
      </c>
    </row>
    <row r="22" spans="1:14" ht="11" customHeight="1">
      <c r="A22" s="34" t="s">
        <v>465</v>
      </c>
      <c r="B22" s="30">
        <v>0</v>
      </c>
      <c r="C22" s="30">
        <v>0</v>
      </c>
      <c r="D22" s="30">
        <v>0</v>
      </c>
      <c r="E22" s="30">
        <v>0</v>
      </c>
      <c r="F22" s="30">
        <v>0</v>
      </c>
      <c r="G22" s="30">
        <v>0</v>
      </c>
      <c r="H22" s="30">
        <v>0</v>
      </c>
      <c r="I22" s="30">
        <v>25</v>
      </c>
      <c r="J22" s="30">
        <v>10</v>
      </c>
      <c r="K22" s="30">
        <v>0</v>
      </c>
      <c r="L22" s="30">
        <v>0</v>
      </c>
      <c r="M22" s="30">
        <v>0</v>
      </c>
      <c r="N22" s="30">
        <v>35</v>
      </c>
    </row>
    <row r="23" spans="1:14" ht="11" customHeight="1">
      <c r="A23" s="33" t="s">
        <v>464</v>
      </c>
      <c r="B23" s="21">
        <v>124863.33</v>
      </c>
      <c r="C23" s="21">
        <v>123929.73</v>
      </c>
      <c r="D23" s="21">
        <v>123175.91</v>
      </c>
      <c r="E23" s="21">
        <v>122165.15</v>
      </c>
      <c r="F23" s="32">
        <v>123324.81</v>
      </c>
      <c r="G23" s="21">
        <v>129487.66</v>
      </c>
      <c r="H23" s="21">
        <v>128370.25</v>
      </c>
      <c r="I23" s="21">
        <v>133878.79</v>
      </c>
      <c r="J23" s="21">
        <v>139912.48000000001</v>
      </c>
      <c r="K23" s="21">
        <v>141408.70000000001</v>
      </c>
      <c r="L23" s="21">
        <v>135846.73000000001</v>
      </c>
      <c r="M23" s="21">
        <v>140384.17000000001</v>
      </c>
      <c r="N23" s="21">
        <v>1566747.71</v>
      </c>
    </row>
    <row r="24" spans="1:14" ht="11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</row>
    <row r="25" spans="1:14" ht="11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</row>
    <row r="26" spans="1:14" ht="10" customHeight="1">
      <c r="A26" s="23" t="s">
        <v>463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</row>
    <row r="27" spans="1:14" ht="11" customHeight="1">
      <c r="A27" s="23" t="s">
        <v>462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</row>
    <row r="28" spans="1:14" ht="11" customHeight="1">
      <c r="A28" s="23" t="s">
        <v>461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</row>
    <row r="29" spans="1:14" ht="11" customHeight="1">
      <c r="A29" s="23" t="s">
        <v>460</v>
      </c>
      <c r="B29" s="20"/>
      <c r="C29" s="30">
        <v>85</v>
      </c>
      <c r="D29" s="26">
        <v>1255</v>
      </c>
      <c r="E29" s="20"/>
      <c r="F29" s="29">
        <v>1885</v>
      </c>
      <c r="G29" s="26">
        <v>1500</v>
      </c>
      <c r="H29" s="20"/>
      <c r="I29" s="20"/>
      <c r="J29" s="20"/>
      <c r="K29" s="26">
        <v>3200</v>
      </c>
      <c r="L29" s="30">
        <v>350</v>
      </c>
      <c r="M29" s="26">
        <v>6664</v>
      </c>
      <c r="N29" s="26">
        <v>14939</v>
      </c>
    </row>
    <row r="30" spans="1:14" ht="11" customHeight="1">
      <c r="A30" s="23" t="s">
        <v>459</v>
      </c>
      <c r="B30" s="26">
        <v>1000</v>
      </c>
      <c r="C30" s="26">
        <v>1541.82</v>
      </c>
      <c r="D30" s="20"/>
      <c r="E30" s="20"/>
      <c r="F30" s="29">
        <v>1231</v>
      </c>
      <c r="G30" s="30">
        <v>695.5</v>
      </c>
      <c r="H30" s="26">
        <v>1740.41</v>
      </c>
      <c r="I30" s="26">
        <v>1349</v>
      </c>
      <c r="J30" s="30">
        <v>948</v>
      </c>
      <c r="K30" s="30">
        <v>828</v>
      </c>
      <c r="L30" s="26">
        <v>1623</v>
      </c>
      <c r="M30" s="26">
        <v>1632.01</v>
      </c>
      <c r="N30" s="26">
        <v>12588.74</v>
      </c>
    </row>
    <row r="31" spans="1:14" ht="11" customHeight="1">
      <c r="A31" s="23" t="s">
        <v>458</v>
      </c>
      <c r="B31" s="30">
        <v>250</v>
      </c>
      <c r="C31" s="30">
        <v>250</v>
      </c>
      <c r="D31" s="30">
        <v>250</v>
      </c>
      <c r="E31" s="30">
        <v>250</v>
      </c>
      <c r="F31" s="31">
        <v>250</v>
      </c>
      <c r="G31" s="30">
        <v>250</v>
      </c>
      <c r="H31" s="30">
        <v>250</v>
      </c>
      <c r="I31" s="30">
        <v>250</v>
      </c>
      <c r="J31" s="30">
        <v>250</v>
      </c>
      <c r="K31" s="30">
        <v>250</v>
      </c>
      <c r="L31" s="30">
        <v>250</v>
      </c>
      <c r="M31" s="30">
        <v>250</v>
      </c>
      <c r="N31" s="26">
        <v>3000</v>
      </c>
    </row>
    <row r="32" spans="1:14" ht="11" customHeight="1">
      <c r="A32" s="23" t="s">
        <v>457</v>
      </c>
      <c r="B32" s="26">
        <v>10011</v>
      </c>
      <c r="C32" s="26">
        <v>9581.5</v>
      </c>
      <c r="D32" s="26">
        <v>9525.25</v>
      </c>
      <c r="E32" s="26">
        <v>10592.63</v>
      </c>
      <c r="F32" s="29">
        <v>11379.51</v>
      </c>
      <c r="G32" s="26">
        <v>12385.5</v>
      </c>
      <c r="H32" s="26">
        <v>10418.700000000001</v>
      </c>
      <c r="I32" s="26">
        <v>11598</v>
      </c>
      <c r="J32" s="26">
        <v>14400</v>
      </c>
      <c r="K32" s="26">
        <v>14794.92</v>
      </c>
      <c r="L32" s="26">
        <v>11108</v>
      </c>
      <c r="M32" s="26">
        <v>14624.82</v>
      </c>
      <c r="N32" s="26">
        <v>140419.82999999999</v>
      </c>
    </row>
    <row r="33" spans="1:14" ht="11" customHeight="1">
      <c r="A33" s="23" t="s">
        <v>456</v>
      </c>
      <c r="B33" s="26">
        <v>8312</v>
      </c>
      <c r="C33" s="26">
        <v>10516</v>
      </c>
      <c r="D33" s="26">
        <v>14379.73</v>
      </c>
      <c r="E33" s="26">
        <v>10870.98</v>
      </c>
      <c r="F33" s="29">
        <v>12896</v>
      </c>
      <c r="G33" s="26">
        <v>10030</v>
      </c>
      <c r="H33" s="26">
        <v>15149.31</v>
      </c>
      <c r="I33" s="26">
        <v>6786.4</v>
      </c>
      <c r="J33" s="26">
        <v>9080</v>
      </c>
      <c r="K33" s="26">
        <v>13578.5</v>
      </c>
      <c r="L33" s="26">
        <v>11430.5</v>
      </c>
      <c r="M33" s="26">
        <v>13323</v>
      </c>
      <c r="N33" s="26">
        <v>136352.42000000001</v>
      </c>
    </row>
    <row r="34" spans="1:14" ht="11" customHeight="1">
      <c r="A34" s="23" t="s">
        <v>455</v>
      </c>
      <c r="B34" s="30">
        <v>252</v>
      </c>
      <c r="C34" s="30">
        <v>252</v>
      </c>
      <c r="D34" s="30">
        <v>266</v>
      </c>
      <c r="E34" s="30">
        <v>266</v>
      </c>
      <c r="F34" s="31">
        <v>266</v>
      </c>
      <c r="G34" s="30">
        <v>266</v>
      </c>
      <c r="H34" s="30">
        <v>266</v>
      </c>
      <c r="I34" s="30">
        <v>266</v>
      </c>
      <c r="J34" s="30">
        <v>266</v>
      </c>
      <c r="K34" s="30">
        <v>266</v>
      </c>
      <c r="L34" s="30">
        <v>222.54</v>
      </c>
      <c r="M34" s="30">
        <v>81.19</v>
      </c>
      <c r="N34" s="26">
        <v>2935.73</v>
      </c>
    </row>
    <row r="35" spans="1:14" ht="11" customHeight="1">
      <c r="A35" s="23" t="s">
        <v>454</v>
      </c>
      <c r="B35" s="30">
        <v>205</v>
      </c>
      <c r="C35" s="30">
        <v>745.29</v>
      </c>
      <c r="D35" s="30">
        <v>800</v>
      </c>
      <c r="E35" s="30">
        <v>324.24</v>
      </c>
      <c r="F35" s="29">
        <v>1347.12</v>
      </c>
      <c r="G35" s="26">
        <v>1108.06</v>
      </c>
      <c r="H35" s="30">
        <v>428.12</v>
      </c>
      <c r="I35" s="30">
        <v>428.12</v>
      </c>
      <c r="J35" s="30">
        <v>868.12</v>
      </c>
      <c r="K35" s="30">
        <v>28.12</v>
      </c>
      <c r="L35" s="30">
        <v>428.12</v>
      </c>
      <c r="M35" s="30">
        <v>428.12</v>
      </c>
      <c r="N35" s="26">
        <v>7138.43</v>
      </c>
    </row>
    <row r="36" spans="1:14" ht="11" customHeight="1">
      <c r="A36" s="23" t="s">
        <v>453</v>
      </c>
      <c r="B36" s="20"/>
      <c r="C36" s="20"/>
      <c r="D36" s="20"/>
      <c r="E36" s="20"/>
      <c r="F36" s="29">
        <v>1768</v>
      </c>
      <c r="G36" s="20"/>
      <c r="H36" s="20"/>
      <c r="I36" s="20"/>
      <c r="J36" s="20"/>
      <c r="K36" s="20"/>
      <c r="L36" s="20"/>
      <c r="M36" s="30">
        <v>609</v>
      </c>
      <c r="N36" s="26">
        <v>2377</v>
      </c>
    </row>
    <row r="37" spans="1:14" ht="11" customHeight="1">
      <c r="A37" s="23" t="s">
        <v>452</v>
      </c>
      <c r="B37" s="20"/>
      <c r="C37" s="20"/>
      <c r="D37" s="20"/>
      <c r="E37" s="30">
        <v>420</v>
      </c>
      <c r="F37" s="31">
        <v>780</v>
      </c>
      <c r="G37" s="26">
        <v>1120</v>
      </c>
      <c r="H37" s="30">
        <v>880</v>
      </c>
      <c r="I37" s="30">
        <v>320</v>
      </c>
      <c r="J37" s="30">
        <v>680</v>
      </c>
      <c r="K37" s="30">
        <v>720</v>
      </c>
      <c r="L37" s="30">
        <v>375</v>
      </c>
      <c r="M37" s="30">
        <v>480</v>
      </c>
      <c r="N37" s="26">
        <v>5775</v>
      </c>
    </row>
    <row r="38" spans="1:14" ht="10" customHeight="1">
      <c r="A38" s="23" t="s">
        <v>451</v>
      </c>
      <c r="B38" s="26">
        <v>3090.92</v>
      </c>
      <c r="C38" s="26">
        <v>3306</v>
      </c>
      <c r="D38" s="26">
        <v>4404.3</v>
      </c>
      <c r="E38" s="26">
        <v>2868</v>
      </c>
      <c r="F38" s="29">
        <v>2938.66</v>
      </c>
      <c r="G38" s="26">
        <v>3667.32</v>
      </c>
      <c r="H38" s="26">
        <v>4005.48</v>
      </c>
      <c r="I38" s="26">
        <v>3880.87</v>
      </c>
      <c r="J38" s="26">
        <v>3341</v>
      </c>
      <c r="K38" s="26">
        <v>2126.5500000000002</v>
      </c>
      <c r="L38" s="26">
        <v>2974.63</v>
      </c>
      <c r="M38" s="26">
        <v>1563.61</v>
      </c>
      <c r="N38" s="26">
        <v>38167.339999999997</v>
      </c>
    </row>
    <row r="39" spans="1:14" ht="11" customHeight="1">
      <c r="A39" s="23" t="s">
        <v>450</v>
      </c>
      <c r="B39" s="30">
        <v>185.78</v>
      </c>
      <c r="C39" s="30">
        <v>195.84</v>
      </c>
      <c r="D39" s="30">
        <v>195.84</v>
      </c>
      <c r="E39" s="30">
        <v>195.84</v>
      </c>
      <c r="F39" s="31">
        <v>195.84</v>
      </c>
      <c r="G39" s="30">
        <v>195.84</v>
      </c>
      <c r="H39" s="30">
        <v>195.84</v>
      </c>
      <c r="I39" s="30">
        <v>195.84</v>
      </c>
      <c r="J39" s="30">
        <v>195.84</v>
      </c>
      <c r="K39" s="30">
        <v>140.74</v>
      </c>
      <c r="L39" s="30">
        <v>222.54</v>
      </c>
      <c r="M39" s="30">
        <v>222.49</v>
      </c>
      <c r="N39" s="26">
        <v>2338.27</v>
      </c>
    </row>
    <row r="40" spans="1:14" ht="11" customHeight="1">
      <c r="A40" s="23" t="s">
        <v>449</v>
      </c>
      <c r="B40" s="30">
        <v>527.87</v>
      </c>
      <c r="C40" s="30">
        <v>561.65</v>
      </c>
      <c r="D40" s="30">
        <v>567.47</v>
      </c>
      <c r="E40" s="30">
        <v>617.29999999999995</v>
      </c>
      <c r="F40" s="31">
        <v>630.54</v>
      </c>
      <c r="G40" s="30">
        <v>604.16999999999996</v>
      </c>
      <c r="H40" s="30">
        <v>533.98</v>
      </c>
      <c r="I40" s="30">
        <v>616.74</v>
      </c>
      <c r="J40" s="30">
        <v>569.6</v>
      </c>
      <c r="K40" s="30">
        <v>555.16999999999996</v>
      </c>
      <c r="L40" s="30">
        <v>499.5</v>
      </c>
      <c r="M40" s="30">
        <v>527.35</v>
      </c>
      <c r="N40" s="26">
        <v>6811.34</v>
      </c>
    </row>
    <row r="41" spans="1:14" ht="11" customHeight="1">
      <c r="A41" s="23" t="s">
        <v>448</v>
      </c>
      <c r="B41" s="30">
        <v>110.26</v>
      </c>
      <c r="C41" s="30">
        <v>117.38</v>
      </c>
      <c r="D41" s="30">
        <v>118.18</v>
      </c>
      <c r="E41" s="30">
        <v>117.06</v>
      </c>
      <c r="F41" s="31">
        <v>115.91</v>
      </c>
      <c r="G41" s="30">
        <v>117.36</v>
      </c>
      <c r="H41" s="30">
        <v>128.56</v>
      </c>
      <c r="I41" s="30">
        <v>127.18</v>
      </c>
      <c r="J41" s="30">
        <v>123.34</v>
      </c>
      <c r="K41" s="30">
        <v>121.26</v>
      </c>
      <c r="L41" s="30">
        <v>127.82</v>
      </c>
      <c r="M41" s="30">
        <v>125.52</v>
      </c>
      <c r="N41" s="26">
        <v>1449.83</v>
      </c>
    </row>
    <row r="42" spans="1:14" ht="11" customHeight="1">
      <c r="A42" s="23" t="s">
        <v>447</v>
      </c>
      <c r="B42" s="26">
        <v>3618.74</v>
      </c>
      <c r="C42" s="26">
        <v>3796.42</v>
      </c>
      <c r="D42" s="26">
        <v>3839.15</v>
      </c>
      <c r="E42" s="26">
        <v>3671.33</v>
      </c>
      <c r="F42" s="29">
        <v>3667.32</v>
      </c>
      <c r="G42" s="26">
        <v>4434.3500000000004</v>
      </c>
      <c r="H42" s="26">
        <v>4087</v>
      </c>
      <c r="I42" s="26">
        <v>3821.57</v>
      </c>
      <c r="J42" s="26">
        <v>2478.0500000000002</v>
      </c>
      <c r="K42" s="26">
        <v>3793.62</v>
      </c>
      <c r="L42" s="26">
        <v>4974.67</v>
      </c>
      <c r="M42" s="26">
        <v>4974.67</v>
      </c>
      <c r="N42" s="26">
        <v>47156.89</v>
      </c>
    </row>
    <row r="43" spans="1:14" ht="11" customHeight="1">
      <c r="A43" s="23" t="s">
        <v>446</v>
      </c>
      <c r="B43" s="26">
        <v>8686.1</v>
      </c>
      <c r="C43" s="26">
        <v>9248.0300000000007</v>
      </c>
      <c r="D43" s="26">
        <v>8487.01</v>
      </c>
      <c r="E43" s="26">
        <v>10964.96</v>
      </c>
      <c r="F43" s="29">
        <v>8066.87</v>
      </c>
      <c r="G43" s="26">
        <v>8070.54</v>
      </c>
      <c r="H43" s="26">
        <v>8288.1299999999992</v>
      </c>
      <c r="I43" s="26">
        <v>10766.26</v>
      </c>
      <c r="J43" s="26">
        <v>8988.06</v>
      </c>
      <c r="K43" s="26">
        <v>7897.11</v>
      </c>
      <c r="L43" s="26">
        <v>6566.42</v>
      </c>
      <c r="M43" s="26">
        <v>6580.74</v>
      </c>
      <c r="N43" s="26">
        <v>102610.23</v>
      </c>
    </row>
    <row r="44" spans="1:14" ht="11" customHeight="1">
      <c r="A44" s="23" t="s">
        <v>445</v>
      </c>
      <c r="B44" s="21">
        <v>36249.67</v>
      </c>
      <c r="C44" s="21">
        <v>40196.93</v>
      </c>
      <c r="D44" s="21">
        <v>44087.93</v>
      </c>
      <c r="E44" s="21">
        <v>41158.339999999997</v>
      </c>
      <c r="F44" s="28">
        <v>47417.77</v>
      </c>
      <c r="G44" s="21">
        <v>44444.639999999999</v>
      </c>
      <c r="H44" s="21">
        <v>46371.53</v>
      </c>
      <c r="I44" s="21">
        <v>40405.980000000003</v>
      </c>
      <c r="J44" s="21">
        <v>42188.01</v>
      </c>
      <c r="K44" s="21">
        <v>48299.99</v>
      </c>
      <c r="L44" s="21">
        <v>41152.74</v>
      </c>
      <c r="M44" s="21">
        <v>52086.52</v>
      </c>
      <c r="N44" s="21">
        <v>524060.05</v>
      </c>
    </row>
    <row r="45" spans="1:14" ht="11" customHeight="1">
      <c r="A45" s="23" t="s">
        <v>444</v>
      </c>
      <c r="B45" s="21">
        <v>36249.67</v>
      </c>
      <c r="C45" s="21">
        <v>40196.93</v>
      </c>
      <c r="D45" s="21">
        <v>44087.93</v>
      </c>
      <c r="E45" s="21">
        <v>41158.339999999997</v>
      </c>
      <c r="F45" s="28">
        <v>47417.77</v>
      </c>
      <c r="G45" s="21">
        <v>44444.639999999999</v>
      </c>
      <c r="H45" s="21">
        <v>46371.53</v>
      </c>
      <c r="I45" s="21">
        <v>40405.980000000003</v>
      </c>
      <c r="J45" s="21">
        <v>42188.01</v>
      </c>
      <c r="K45" s="21">
        <v>48299.99</v>
      </c>
      <c r="L45" s="21">
        <v>41152.74</v>
      </c>
      <c r="M45" s="21">
        <v>52086.52</v>
      </c>
      <c r="N45" s="21">
        <v>524060.05</v>
      </c>
    </row>
    <row r="46" spans="1:14" ht="11" customHeight="1">
      <c r="A46" s="23" t="s">
        <v>443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</row>
    <row r="47" spans="1:14" ht="11" customHeight="1">
      <c r="A47" s="23" t="s">
        <v>442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</row>
    <row r="48" spans="1:14" ht="10.75" customHeight="1">
      <c r="A48" s="23" t="s">
        <v>441</v>
      </c>
      <c r="B48" s="21">
        <v>4914.46</v>
      </c>
      <c r="C48" s="21">
        <v>4986.6099999999997</v>
      </c>
      <c r="D48" s="21">
        <v>5182.78</v>
      </c>
      <c r="E48" s="21">
        <v>4821.97</v>
      </c>
      <c r="F48" s="28">
        <v>5084.72</v>
      </c>
      <c r="G48" s="21">
        <v>4725.92</v>
      </c>
      <c r="H48" s="21">
        <v>5729.55</v>
      </c>
      <c r="I48" s="21">
        <v>4992.6400000000003</v>
      </c>
      <c r="J48" s="21">
        <v>5679.73</v>
      </c>
      <c r="K48" s="21">
        <v>5726.32</v>
      </c>
      <c r="L48" s="21">
        <v>5275.31</v>
      </c>
      <c r="M48" s="21">
        <v>5529.78</v>
      </c>
      <c r="N48" s="21">
        <v>62649.79</v>
      </c>
    </row>
    <row r="49" spans="1:14" ht="11" customHeight="1">
      <c r="A49" s="23" t="s">
        <v>440</v>
      </c>
      <c r="B49" s="27">
        <v>5036</v>
      </c>
      <c r="C49" s="27">
        <v>5036</v>
      </c>
      <c r="D49" s="27">
        <v>6041.25</v>
      </c>
      <c r="E49" s="27">
        <v>6332.14</v>
      </c>
      <c r="F49" s="27">
        <v>6332.14</v>
      </c>
      <c r="G49" s="26">
        <v>6332.14</v>
      </c>
      <c r="H49" s="27">
        <v>6332.14</v>
      </c>
      <c r="I49" s="27">
        <v>6332.14</v>
      </c>
      <c r="J49" s="27">
        <v>6332.14</v>
      </c>
      <c r="K49" s="27">
        <v>6332.14</v>
      </c>
      <c r="L49" s="27">
        <v>6332.14</v>
      </c>
      <c r="M49" s="27">
        <v>6332.14</v>
      </c>
      <c r="N49" s="26">
        <v>73102.509999999995</v>
      </c>
    </row>
    <row r="50" spans="1:14" ht="11" customHeight="1">
      <c r="A50" s="23" t="s">
        <v>439</v>
      </c>
      <c r="B50" s="27">
        <v>14945</v>
      </c>
      <c r="C50" s="27">
        <v>14945</v>
      </c>
      <c r="D50" s="27">
        <v>14945</v>
      </c>
      <c r="E50" s="27">
        <v>14945</v>
      </c>
      <c r="F50" s="27">
        <v>14945</v>
      </c>
      <c r="G50" s="26">
        <v>14945</v>
      </c>
      <c r="H50" s="27">
        <v>14945</v>
      </c>
      <c r="I50" s="27">
        <v>14945</v>
      </c>
      <c r="J50" s="27">
        <v>14945</v>
      </c>
      <c r="K50" s="27">
        <v>14945</v>
      </c>
      <c r="L50" s="27">
        <v>14945</v>
      </c>
      <c r="M50" s="27">
        <v>14945</v>
      </c>
      <c r="N50" s="26">
        <v>179340</v>
      </c>
    </row>
    <row r="51" spans="1:14" ht="11" customHeight="1">
      <c r="A51" s="23" t="s">
        <v>438</v>
      </c>
      <c r="B51" s="22">
        <v>24895.46</v>
      </c>
      <c r="C51" s="22">
        <v>24967.61</v>
      </c>
      <c r="D51" s="22">
        <v>26169.03</v>
      </c>
      <c r="E51" s="22">
        <v>26099.11</v>
      </c>
      <c r="F51" s="22">
        <v>26361.86</v>
      </c>
      <c r="G51" s="21">
        <v>26003.06</v>
      </c>
      <c r="H51" s="22">
        <v>27006.69</v>
      </c>
      <c r="I51" s="22">
        <v>26269.78</v>
      </c>
      <c r="J51" s="22">
        <v>26956.87</v>
      </c>
      <c r="K51" s="22">
        <v>27003.46</v>
      </c>
      <c r="L51" s="22">
        <v>26552.45</v>
      </c>
      <c r="M51" s="22">
        <v>26806.92</v>
      </c>
      <c r="N51" s="21">
        <v>315092.3</v>
      </c>
    </row>
    <row r="52" spans="1:14" ht="11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</row>
    <row r="53" spans="1:14" ht="12.75" customHeight="1">
      <c r="A53" s="25" t="s">
        <v>437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</row>
    <row r="54" spans="1:14" ht="11" customHeight="1">
      <c r="A54" s="23" t="s">
        <v>436</v>
      </c>
      <c r="B54" s="22">
        <v>61145.13</v>
      </c>
      <c r="C54" s="22">
        <v>65164.54</v>
      </c>
      <c r="D54" s="22">
        <v>70256.960000000006</v>
      </c>
      <c r="E54" s="22">
        <v>67257.45</v>
      </c>
      <c r="F54" s="22">
        <v>73779.63</v>
      </c>
      <c r="G54" s="21">
        <v>70447.7</v>
      </c>
      <c r="H54" s="22">
        <v>73378.22</v>
      </c>
      <c r="I54" s="22">
        <v>66675.759999999995</v>
      </c>
      <c r="J54" s="22">
        <v>69144.88</v>
      </c>
      <c r="K54" s="22">
        <v>75303.45</v>
      </c>
      <c r="L54" s="22">
        <v>67705.19</v>
      </c>
      <c r="M54" s="22">
        <v>78893.440000000002</v>
      </c>
      <c r="N54" s="21">
        <v>839152.35</v>
      </c>
    </row>
    <row r="55" spans="1:14" ht="11" customHeight="1">
      <c r="A55" s="23" t="s">
        <v>435</v>
      </c>
      <c r="B55" s="22">
        <v>63718.2</v>
      </c>
      <c r="C55" s="22">
        <v>58765.19</v>
      </c>
      <c r="D55" s="22">
        <v>52918.95</v>
      </c>
      <c r="E55" s="22">
        <v>54907.7</v>
      </c>
      <c r="F55" s="22">
        <v>49545.18</v>
      </c>
      <c r="G55" s="21">
        <v>59039.96</v>
      </c>
      <c r="H55" s="22">
        <v>54992.03</v>
      </c>
      <c r="I55" s="22">
        <v>67203.03</v>
      </c>
      <c r="J55" s="22">
        <v>70767.600000000006</v>
      </c>
      <c r="K55" s="22">
        <v>66105.25</v>
      </c>
      <c r="L55" s="22">
        <v>68141.539999999994</v>
      </c>
      <c r="M55" s="22">
        <v>61490.73</v>
      </c>
      <c r="N55" s="21">
        <v>727595.36</v>
      </c>
    </row>
    <row r="56" spans="1:14" ht="11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</row>
    <row r="57" spans="1:14" ht="11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</row>
  </sheetData>
  <mergeCells count="3">
    <mergeCell ref="A1:N1"/>
    <mergeCell ref="A2:N2"/>
    <mergeCell ref="A3:N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058A0-9B49-4B62-BE9F-9B3263C7141E}">
  <dimension ref="A1:O140"/>
  <sheetViews>
    <sheetView workbookViewId="0">
      <selection activeCell="AE1" sqref="AE1"/>
    </sheetView>
  </sheetViews>
  <sheetFormatPr defaultRowHeight="13"/>
  <cols>
    <col min="1" max="1" width="2.75" style="49" customWidth="1"/>
    <col min="2" max="2" width="5.75" style="49" customWidth="1"/>
    <col min="3" max="3" width="12.58203125" style="49" customWidth="1"/>
    <col min="4" max="5" width="16.5" style="49" customWidth="1"/>
    <col min="6" max="6" width="6.6640625" style="49" customWidth="1"/>
    <col min="7" max="10" width="10.58203125" style="49" customWidth="1"/>
    <col min="11" max="13" width="8.6640625" style="49" customWidth="1"/>
    <col min="14" max="14" width="9.6640625" style="49" customWidth="1"/>
    <col min="15" max="15" width="6.6640625" style="49" customWidth="1"/>
    <col min="16" max="16384" width="8.6640625" style="49"/>
  </cols>
  <sheetData>
    <row r="1" spans="1:15" ht="73.25" customHeight="1">
      <c r="A1" s="114" t="s">
        <v>777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</row>
    <row r="2" spans="1:15" ht="28" customHeight="1">
      <c r="A2" s="106" t="s">
        <v>776</v>
      </c>
      <c r="B2" s="112" t="s">
        <v>775</v>
      </c>
      <c r="C2" s="106" t="s">
        <v>774</v>
      </c>
      <c r="D2" s="106" t="s">
        <v>773</v>
      </c>
      <c r="E2" s="106" t="s">
        <v>772</v>
      </c>
      <c r="F2" s="110" t="s">
        <v>771</v>
      </c>
      <c r="G2" s="110" t="s">
        <v>770</v>
      </c>
      <c r="H2" s="110" t="s">
        <v>769</v>
      </c>
      <c r="I2" s="111" t="s">
        <v>768</v>
      </c>
      <c r="J2" s="110" t="s">
        <v>767</v>
      </c>
      <c r="K2" s="109" t="s">
        <v>766</v>
      </c>
      <c r="L2" s="108" t="s">
        <v>765</v>
      </c>
      <c r="M2" s="107" t="s">
        <v>764</v>
      </c>
      <c r="N2" s="106" t="s">
        <v>763</v>
      </c>
      <c r="O2" s="94"/>
    </row>
    <row r="3" spans="1:15" ht="25" customHeight="1">
      <c r="A3" s="105" t="s">
        <v>762</v>
      </c>
      <c r="B3" s="104"/>
      <c r="C3" s="103" t="s">
        <v>504</v>
      </c>
      <c r="D3" s="99"/>
      <c r="E3" s="103" t="s">
        <v>510</v>
      </c>
      <c r="F3" s="102">
        <v>762</v>
      </c>
      <c r="G3" s="101">
        <v>1200</v>
      </c>
      <c r="H3" s="99"/>
      <c r="I3" s="100">
        <v>0</v>
      </c>
      <c r="J3" s="100">
        <v>0</v>
      </c>
      <c r="K3" s="99"/>
      <c r="L3" s="99"/>
      <c r="M3" s="98"/>
      <c r="N3" s="97"/>
      <c r="O3" s="94"/>
    </row>
    <row r="4" spans="1:15" ht="25" customHeight="1">
      <c r="A4" s="70" t="s">
        <v>761</v>
      </c>
      <c r="B4" s="69"/>
      <c r="C4" s="68" t="s">
        <v>501</v>
      </c>
      <c r="D4" s="68" t="s">
        <v>760</v>
      </c>
      <c r="E4" s="68" t="s">
        <v>499</v>
      </c>
      <c r="F4" s="67">
        <v>651</v>
      </c>
      <c r="G4" s="66">
        <v>1100</v>
      </c>
      <c r="H4" s="66">
        <v>1100</v>
      </c>
      <c r="I4" s="81"/>
      <c r="J4" s="64">
        <v>0</v>
      </c>
      <c r="K4" s="63">
        <v>45003</v>
      </c>
      <c r="L4" s="63">
        <v>46446</v>
      </c>
      <c r="M4" s="62">
        <v>45312</v>
      </c>
      <c r="N4" s="61"/>
      <c r="O4" s="94"/>
    </row>
    <row r="5" spans="1:15" ht="24" customHeight="1">
      <c r="A5" s="80" t="s">
        <v>759</v>
      </c>
      <c r="B5" s="79"/>
      <c r="C5" s="78" t="s">
        <v>501</v>
      </c>
      <c r="D5" s="78" t="s">
        <v>758</v>
      </c>
      <c r="E5" s="78" t="s">
        <v>499</v>
      </c>
      <c r="F5" s="77">
        <v>651</v>
      </c>
      <c r="G5" s="76">
        <v>1100</v>
      </c>
      <c r="H5" s="76">
        <v>1050</v>
      </c>
      <c r="I5" s="75"/>
      <c r="J5" s="74">
        <v>300</v>
      </c>
      <c r="K5" s="73">
        <v>44927</v>
      </c>
      <c r="L5" s="73">
        <v>46428</v>
      </c>
      <c r="M5" s="72">
        <v>44945</v>
      </c>
      <c r="N5" s="71"/>
      <c r="O5" s="94"/>
    </row>
    <row r="6" spans="1:15" ht="25" customHeight="1">
      <c r="A6" s="70" t="s">
        <v>757</v>
      </c>
      <c r="B6" s="69"/>
      <c r="C6" s="68" t="s">
        <v>501</v>
      </c>
      <c r="D6" s="68" t="s">
        <v>756</v>
      </c>
      <c r="E6" s="68" t="s">
        <v>499</v>
      </c>
      <c r="F6" s="67">
        <v>651</v>
      </c>
      <c r="G6" s="66">
        <v>1100</v>
      </c>
      <c r="H6" s="66">
        <v>1050</v>
      </c>
      <c r="I6" s="81"/>
      <c r="J6" s="64">
        <v>500</v>
      </c>
      <c r="K6" s="63">
        <v>45499</v>
      </c>
      <c r="L6" s="63">
        <v>46568</v>
      </c>
      <c r="M6" s="62">
        <v>45499</v>
      </c>
      <c r="N6" s="61"/>
      <c r="O6" s="94"/>
    </row>
    <row r="7" spans="1:15" ht="25" customHeight="1">
      <c r="A7" s="80" t="s">
        <v>755</v>
      </c>
      <c r="B7" s="79"/>
      <c r="C7" s="78" t="s">
        <v>501</v>
      </c>
      <c r="D7" s="78" t="s">
        <v>754</v>
      </c>
      <c r="E7" s="78" t="s">
        <v>499</v>
      </c>
      <c r="F7" s="77">
        <v>651</v>
      </c>
      <c r="G7" s="76">
        <v>1100</v>
      </c>
      <c r="H7" s="76">
        <v>1050</v>
      </c>
      <c r="I7" s="75"/>
      <c r="J7" s="74">
        <v>500</v>
      </c>
      <c r="K7" s="73">
        <v>46042</v>
      </c>
      <c r="L7" s="73">
        <v>46387</v>
      </c>
      <c r="M7" s="72">
        <v>46042</v>
      </c>
      <c r="N7" s="71"/>
      <c r="O7" s="94"/>
    </row>
    <row r="8" spans="1:15" ht="25" customHeight="1">
      <c r="A8" s="70" t="s">
        <v>753</v>
      </c>
      <c r="B8" s="69"/>
      <c r="C8" s="68" t="s">
        <v>501</v>
      </c>
      <c r="D8" s="68" t="s">
        <v>752</v>
      </c>
      <c r="E8" s="68" t="s">
        <v>499</v>
      </c>
      <c r="F8" s="67">
        <v>651</v>
      </c>
      <c r="G8" s="66">
        <v>1100</v>
      </c>
      <c r="H8" s="66">
        <v>1010</v>
      </c>
      <c r="I8" s="81"/>
      <c r="J8" s="64">
        <v>500</v>
      </c>
      <c r="K8" s="63">
        <v>45936</v>
      </c>
      <c r="L8" s="63">
        <v>46300</v>
      </c>
      <c r="M8" s="62">
        <v>45936</v>
      </c>
      <c r="N8" s="61"/>
      <c r="O8" s="94"/>
    </row>
    <row r="9" spans="1:15" ht="24" customHeight="1">
      <c r="A9" s="80" t="s">
        <v>751</v>
      </c>
      <c r="B9" s="79"/>
      <c r="C9" s="78" t="s">
        <v>501</v>
      </c>
      <c r="D9" s="78" t="s">
        <v>750</v>
      </c>
      <c r="E9" s="78" t="s">
        <v>499</v>
      </c>
      <c r="F9" s="77">
        <v>651</v>
      </c>
      <c r="G9" s="76">
        <v>1100</v>
      </c>
      <c r="H9" s="76">
        <v>1050</v>
      </c>
      <c r="I9" s="75"/>
      <c r="J9" s="74">
        <v>500</v>
      </c>
      <c r="K9" s="73">
        <v>46054</v>
      </c>
      <c r="L9" s="73">
        <v>46418</v>
      </c>
      <c r="M9" s="72">
        <v>46054</v>
      </c>
      <c r="N9" s="71"/>
      <c r="O9" s="94"/>
    </row>
    <row r="10" spans="1:15" ht="25" customHeight="1">
      <c r="A10" s="70" t="s">
        <v>749</v>
      </c>
      <c r="B10" s="69"/>
      <c r="C10" s="68" t="s">
        <v>504</v>
      </c>
      <c r="D10" s="68" t="s">
        <v>748</v>
      </c>
      <c r="E10" s="68" t="s">
        <v>499</v>
      </c>
      <c r="F10" s="67">
        <v>762</v>
      </c>
      <c r="G10" s="66">
        <v>1200</v>
      </c>
      <c r="H10" s="66">
        <v>1200</v>
      </c>
      <c r="I10" s="81"/>
      <c r="J10" s="64">
        <v>500</v>
      </c>
      <c r="K10" s="63">
        <v>46178</v>
      </c>
      <c r="L10" s="63">
        <v>46568</v>
      </c>
      <c r="M10" s="62">
        <v>46178</v>
      </c>
      <c r="N10" s="61"/>
      <c r="O10" s="94"/>
    </row>
    <row r="11" spans="1:15" ht="25" customHeight="1">
      <c r="A11" s="80" t="s">
        <v>747</v>
      </c>
      <c r="B11" s="79"/>
      <c r="C11" s="78" t="s">
        <v>504</v>
      </c>
      <c r="D11" s="78" t="s">
        <v>746</v>
      </c>
      <c r="E11" s="78" t="s">
        <v>499</v>
      </c>
      <c r="F11" s="77">
        <v>762</v>
      </c>
      <c r="G11" s="76">
        <v>1200</v>
      </c>
      <c r="H11" s="76">
        <v>1150</v>
      </c>
      <c r="I11" s="75"/>
      <c r="J11" s="74">
        <v>300</v>
      </c>
      <c r="K11" s="73">
        <v>45084</v>
      </c>
      <c r="L11" s="73">
        <v>46538</v>
      </c>
      <c r="M11" s="72">
        <v>45085</v>
      </c>
      <c r="N11" s="71"/>
      <c r="O11" s="94"/>
    </row>
    <row r="12" spans="1:15" ht="25" customHeight="1">
      <c r="A12" s="70" t="s">
        <v>745</v>
      </c>
      <c r="B12" s="69"/>
      <c r="C12" s="68" t="s">
        <v>501</v>
      </c>
      <c r="D12" s="68" t="s">
        <v>744</v>
      </c>
      <c r="E12" s="68" t="s">
        <v>499</v>
      </c>
      <c r="F12" s="67">
        <v>651</v>
      </c>
      <c r="G12" s="66">
        <v>1100</v>
      </c>
      <c r="H12" s="66">
        <v>1050</v>
      </c>
      <c r="I12" s="81"/>
      <c r="J12" s="64">
        <v>400</v>
      </c>
      <c r="K12" s="63">
        <v>46054</v>
      </c>
      <c r="L12" s="63">
        <v>46418</v>
      </c>
      <c r="M12" s="62">
        <v>46054</v>
      </c>
      <c r="N12" s="61"/>
      <c r="O12" s="94"/>
    </row>
    <row r="13" spans="1:15" ht="24" customHeight="1">
      <c r="A13" s="80" t="s">
        <v>743</v>
      </c>
      <c r="B13" s="79"/>
      <c r="C13" s="78" t="s">
        <v>501</v>
      </c>
      <c r="D13" s="78" t="s">
        <v>742</v>
      </c>
      <c r="E13" s="78" t="s">
        <v>499</v>
      </c>
      <c r="F13" s="77">
        <v>651</v>
      </c>
      <c r="G13" s="76">
        <v>1100</v>
      </c>
      <c r="H13" s="76">
        <v>1010</v>
      </c>
      <c r="I13" s="75"/>
      <c r="J13" s="74">
        <v>500</v>
      </c>
      <c r="K13" s="73">
        <v>45841</v>
      </c>
      <c r="L13" s="73">
        <v>46599</v>
      </c>
      <c r="M13" s="72">
        <v>45841</v>
      </c>
      <c r="N13" s="71"/>
      <c r="O13" s="94"/>
    </row>
    <row r="14" spans="1:15" ht="25" customHeight="1">
      <c r="A14" s="70" t="s">
        <v>741</v>
      </c>
      <c r="B14" s="69"/>
      <c r="C14" s="68" t="s">
        <v>501</v>
      </c>
      <c r="D14" s="68" t="s">
        <v>740</v>
      </c>
      <c r="E14" s="68" t="s">
        <v>499</v>
      </c>
      <c r="F14" s="67">
        <v>651</v>
      </c>
      <c r="G14" s="66">
        <v>1100</v>
      </c>
      <c r="H14" s="66">
        <v>1050</v>
      </c>
      <c r="I14" s="81"/>
      <c r="J14" s="64">
        <v>250</v>
      </c>
      <c r="K14" s="63">
        <v>45352</v>
      </c>
      <c r="L14" s="63">
        <v>46479</v>
      </c>
      <c r="M14" s="62">
        <v>44615</v>
      </c>
      <c r="N14" s="61"/>
      <c r="O14" s="94"/>
    </row>
    <row r="15" spans="1:15" ht="35" customHeight="1">
      <c r="A15" s="80" t="s">
        <v>739</v>
      </c>
      <c r="B15" s="79"/>
      <c r="C15" s="78" t="s">
        <v>501</v>
      </c>
      <c r="D15" s="96" t="s">
        <v>738</v>
      </c>
      <c r="E15" s="78" t="s">
        <v>499</v>
      </c>
      <c r="F15" s="77">
        <v>651</v>
      </c>
      <c r="G15" s="76">
        <v>1100</v>
      </c>
      <c r="H15" s="76">
        <v>1075</v>
      </c>
      <c r="I15" s="96"/>
      <c r="J15" s="74">
        <v>500</v>
      </c>
      <c r="K15" s="73">
        <v>45514</v>
      </c>
      <c r="L15" s="73">
        <v>46234</v>
      </c>
      <c r="M15" s="72">
        <v>45154</v>
      </c>
      <c r="N15" s="71"/>
      <c r="O15" s="95"/>
    </row>
    <row r="16" spans="1:15" ht="24" customHeight="1">
      <c r="A16" s="70" t="s">
        <v>737</v>
      </c>
      <c r="B16" s="69"/>
      <c r="C16" s="68" t="s">
        <v>501</v>
      </c>
      <c r="D16" s="68" t="s">
        <v>736</v>
      </c>
      <c r="E16" s="68" t="s">
        <v>499</v>
      </c>
      <c r="F16" s="67">
        <v>651</v>
      </c>
      <c r="G16" s="66">
        <v>1100</v>
      </c>
      <c r="H16" s="66">
        <v>1030</v>
      </c>
      <c r="I16" s="64">
        <v>15</v>
      </c>
      <c r="J16" s="64">
        <v>0</v>
      </c>
      <c r="K16" s="63">
        <v>45108</v>
      </c>
      <c r="L16" s="63">
        <v>46568</v>
      </c>
      <c r="M16" s="62">
        <v>44348</v>
      </c>
      <c r="N16" s="61"/>
      <c r="O16" s="94"/>
    </row>
    <row r="17" spans="1:15" ht="25" customHeight="1">
      <c r="A17" s="80" t="s">
        <v>735</v>
      </c>
      <c r="B17" s="79"/>
      <c r="C17" s="78" t="s">
        <v>501</v>
      </c>
      <c r="D17" s="78" t="s">
        <v>734</v>
      </c>
      <c r="E17" s="78" t="s">
        <v>499</v>
      </c>
      <c r="F17" s="77">
        <v>651</v>
      </c>
      <c r="G17" s="76">
        <v>1100</v>
      </c>
      <c r="H17" s="74">
        <v>975</v>
      </c>
      <c r="I17" s="74">
        <v>15</v>
      </c>
      <c r="J17" s="74">
        <v>0</v>
      </c>
      <c r="K17" s="73">
        <v>45905</v>
      </c>
      <c r="L17" s="73">
        <v>46446</v>
      </c>
      <c r="M17" s="72">
        <v>45905</v>
      </c>
      <c r="N17" s="71"/>
      <c r="O17" s="94"/>
    </row>
    <row r="18" spans="1:15" ht="25" customHeight="1">
      <c r="A18" s="70" t="s">
        <v>733</v>
      </c>
      <c r="B18" s="69"/>
      <c r="C18" s="68" t="s">
        <v>504</v>
      </c>
      <c r="D18" s="68" t="s">
        <v>732</v>
      </c>
      <c r="E18" s="68" t="s">
        <v>499</v>
      </c>
      <c r="F18" s="67">
        <v>762</v>
      </c>
      <c r="G18" s="66">
        <v>1200</v>
      </c>
      <c r="H18" s="66">
        <v>1150</v>
      </c>
      <c r="I18" s="81"/>
      <c r="J18" s="64">
        <v>0</v>
      </c>
      <c r="K18" s="63">
        <v>45383</v>
      </c>
      <c r="L18" s="63">
        <v>46477</v>
      </c>
      <c r="M18" s="62">
        <v>44169</v>
      </c>
      <c r="N18" s="61"/>
      <c r="O18" s="94"/>
    </row>
    <row r="19" spans="1:15" ht="25" customHeight="1">
      <c r="A19" s="80" t="s">
        <v>731</v>
      </c>
      <c r="B19" s="79"/>
      <c r="C19" s="78" t="s">
        <v>504</v>
      </c>
      <c r="D19" s="78" t="s">
        <v>730</v>
      </c>
      <c r="E19" s="78" t="s">
        <v>499</v>
      </c>
      <c r="F19" s="77">
        <v>762</v>
      </c>
      <c r="G19" s="76">
        <v>1200</v>
      </c>
      <c r="H19" s="76">
        <v>1100</v>
      </c>
      <c r="I19" s="75"/>
      <c r="J19" s="74">
        <v>0</v>
      </c>
      <c r="K19" s="73">
        <v>45818</v>
      </c>
      <c r="L19" s="73">
        <v>46507</v>
      </c>
      <c r="M19" s="72">
        <v>45818</v>
      </c>
      <c r="N19" s="71"/>
      <c r="O19" s="94"/>
    </row>
    <row r="20" spans="1:15" ht="25" customHeight="1">
      <c r="A20" s="70" t="s">
        <v>729</v>
      </c>
      <c r="B20" s="69"/>
      <c r="C20" s="68" t="s">
        <v>504</v>
      </c>
      <c r="D20" s="68" t="s">
        <v>728</v>
      </c>
      <c r="E20" s="68" t="s">
        <v>499</v>
      </c>
      <c r="F20" s="67">
        <v>762</v>
      </c>
      <c r="G20" s="66">
        <v>1200</v>
      </c>
      <c r="H20" s="66">
        <v>1035</v>
      </c>
      <c r="I20" s="81"/>
      <c r="J20" s="64">
        <v>500</v>
      </c>
      <c r="K20" s="63">
        <v>45550</v>
      </c>
      <c r="L20" s="63">
        <v>46295</v>
      </c>
      <c r="M20" s="63">
        <v>45550</v>
      </c>
      <c r="N20" s="91"/>
    </row>
    <row r="21" spans="1:15" ht="25" customHeight="1">
      <c r="A21" s="80" t="s">
        <v>727</v>
      </c>
      <c r="B21" s="79"/>
      <c r="C21" s="78" t="s">
        <v>504</v>
      </c>
      <c r="D21" s="78" t="s">
        <v>726</v>
      </c>
      <c r="E21" s="78" t="s">
        <v>499</v>
      </c>
      <c r="F21" s="77">
        <v>762</v>
      </c>
      <c r="G21" s="76">
        <v>1200</v>
      </c>
      <c r="H21" s="76">
        <v>1100</v>
      </c>
      <c r="I21" s="75"/>
      <c r="J21" s="74">
        <v>0</v>
      </c>
      <c r="K21" s="73">
        <v>45912</v>
      </c>
      <c r="L21" s="73">
        <v>46276</v>
      </c>
      <c r="M21" s="73">
        <v>45912</v>
      </c>
      <c r="N21" s="90"/>
    </row>
    <row r="22" spans="1:15" ht="24" customHeight="1">
      <c r="A22" s="70" t="s">
        <v>725</v>
      </c>
      <c r="B22" s="69"/>
      <c r="C22" s="68" t="s">
        <v>504</v>
      </c>
      <c r="D22" s="68" t="s">
        <v>724</v>
      </c>
      <c r="E22" s="68" t="s">
        <v>499</v>
      </c>
      <c r="F22" s="67">
        <v>762</v>
      </c>
      <c r="G22" s="66">
        <v>1200</v>
      </c>
      <c r="H22" s="66">
        <v>1100</v>
      </c>
      <c r="I22" s="81"/>
      <c r="J22" s="64">
        <v>0</v>
      </c>
      <c r="K22" s="63">
        <v>46129</v>
      </c>
      <c r="L22" s="63">
        <v>46203</v>
      </c>
      <c r="M22" s="63">
        <v>46129</v>
      </c>
      <c r="N22" s="91"/>
    </row>
    <row r="23" spans="1:15" ht="25" customHeight="1">
      <c r="A23" s="80" t="s">
        <v>723</v>
      </c>
      <c r="B23" s="79"/>
      <c r="C23" s="78" t="s">
        <v>504</v>
      </c>
      <c r="D23" s="78" t="s">
        <v>722</v>
      </c>
      <c r="E23" s="78" t="s">
        <v>499</v>
      </c>
      <c r="F23" s="77">
        <v>762</v>
      </c>
      <c r="G23" s="76">
        <v>1200</v>
      </c>
      <c r="H23" s="76">
        <v>1100</v>
      </c>
      <c r="I23" s="75"/>
      <c r="J23" s="74">
        <v>500</v>
      </c>
      <c r="K23" s="73">
        <v>46116</v>
      </c>
      <c r="L23" s="73">
        <v>46480</v>
      </c>
      <c r="M23" s="73">
        <v>46116</v>
      </c>
      <c r="N23" s="90"/>
    </row>
    <row r="24" spans="1:15" ht="25" customHeight="1">
      <c r="A24" s="70" t="s">
        <v>721</v>
      </c>
      <c r="B24" s="69"/>
      <c r="C24" s="68" t="s">
        <v>504</v>
      </c>
      <c r="D24" s="68" t="s">
        <v>720</v>
      </c>
      <c r="E24" s="68" t="s">
        <v>499</v>
      </c>
      <c r="F24" s="67">
        <v>762</v>
      </c>
      <c r="G24" s="66">
        <v>1200</v>
      </c>
      <c r="H24" s="66">
        <v>1100</v>
      </c>
      <c r="I24" s="81"/>
      <c r="J24" s="64">
        <v>300</v>
      </c>
      <c r="K24" s="63">
        <v>45992</v>
      </c>
      <c r="L24" s="63">
        <v>46356</v>
      </c>
      <c r="M24" s="63">
        <v>45992</v>
      </c>
      <c r="N24" s="91"/>
    </row>
    <row r="25" spans="1:15" ht="25" customHeight="1">
      <c r="A25" s="80" t="s">
        <v>719</v>
      </c>
      <c r="B25" s="79"/>
      <c r="C25" s="78" t="s">
        <v>504</v>
      </c>
      <c r="D25" s="78" t="s">
        <v>718</v>
      </c>
      <c r="E25" s="78" t="s">
        <v>717</v>
      </c>
      <c r="F25" s="77">
        <v>762</v>
      </c>
      <c r="G25" s="76">
        <v>1200</v>
      </c>
      <c r="H25" s="76">
        <v>1100</v>
      </c>
      <c r="I25" s="75"/>
      <c r="J25" s="74">
        <v>500</v>
      </c>
      <c r="K25" s="73">
        <v>46054</v>
      </c>
      <c r="L25" s="73">
        <v>46418</v>
      </c>
      <c r="M25" s="73">
        <v>46054</v>
      </c>
      <c r="N25" s="93">
        <v>46190</v>
      </c>
    </row>
    <row r="26" spans="1:15" ht="34" customHeight="1">
      <c r="A26" s="70" t="s">
        <v>716</v>
      </c>
      <c r="B26" s="69"/>
      <c r="C26" s="68" t="s">
        <v>501</v>
      </c>
      <c r="D26" s="68" t="s">
        <v>715</v>
      </c>
      <c r="E26" s="68" t="s">
        <v>499</v>
      </c>
      <c r="F26" s="67">
        <v>651</v>
      </c>
      <c r="G26" s="66">
        <v>1100</v>
      </c>
      <c r="H26" s="64">
        <v>925</v>
      </c>
      <c r="I26" s="65"/>
      <c r="J26" s="64">
        <v>500</v>
      </c>
      <c r="K26" s="63">
        <v>45222</v>
      </c>
      <c r="L26" s="63">
        <v>46568</v>
      </c>
      <c r="M26" s="63">
        <v>45231</v>
      </c>
      <c r="N26" s="92"/>
    </row>
    <row r="27" spans="1:15" ht="25" customHeight="1">
      <c r="A27" s="80" t="s">
        <v>714</v>
      </c>
      <c r="B27" s="79"/>
      <c r="C27" s="78" t="s">
        <v>504</v>
      </c>
      <c r="D27" s="78" t="s">
        <v>713</v>
      </c>
      <c r="E27" s="78" t="s">
        <v>499</v>
      </c>
      <c r="F27" s="77">
        <v>762</v>
      </c>
      <c r="G27" s="76">
        <v>1200</v>
      </c>
      <c r="H27" s="76">
        <v>1150</v>
      </c>
      <c r="I27" s="74">
        <v>25</v>
      </c>
      <c r="J27" s="74">
        <v>500</v>
      </c>
      <c r="K27" s="73">
        <v>45530</v>
      </c>
      <c r="L27" s="73">
        <v>46259</v>
      </c>
      <c r="M27" s="73">
        <v>45530</v>
      </c>
      <c r="N27" s="90"/>
    </row>
    <row r="28" spans="1:15" ht="25" customHeight="1">
      <c r="A28" s="70" t="s">
        <v>712</v>
      </c>
      <c r="B28" s="69"/>
      <c r="C28" s="68" t="s">
        <v>504</v>
      </c>
      <c r="D28" s="68" t="s">
        <v>711</v>
      </c>
      <c r="E28" s="68" t="s">
        <v>499</v>
      </c>
      <c r="F28" s="67">
        <v>762</v>
      </c>
      <c r="G28" s="66">
        <v>1200</v>
      </c>
      <c r="H28" s="66">
        <v>1150</v>
      </c>
      <c r="I28" s="81"/>
      <c r="J28" s="64">
        <v>500</v>
      </c>
      <c r="K28" s="63">
        <v>45352</v>
      </c>
      <c r="L28" s="63">
        <v>46568</v>
      </c>
      <c r="M28" s="63">
        <v>45352</v>
      </c>
      <c r="N28" s="91"/>
    </row>
    <row r="29" spans="1:15" ht="24" customHeight="1">
      <c r="A29" s="80" t="s">
        <v>710</v>
      </c>
      <c r="B29" s="79"/>
      <c r="C29" s="78" t="s">
        <v>504</v>
      </c>
      <c r="D29" s="78" t="s">
        <v>709</v>
      </c>
      <c r="E29" s="78" t="s">
        <v>499</v>
      </c>
      <c r="F29" s="77">
        <v>762</v>
      </c>
      <c r="G29" s="76">
        <v>1200</v>
      </c>
      <c r="H29" s="76">
        <v>1100</v>
      </c>
      <c r="I29" s="75"/>
      <c r="J29" s="74">
        <v>300</v>
      </c>
      <c r="K29" s="73">
        <v>45962</v>
      </c>
      <c r="L29" s="73">
        <v>46326</v>
      </c>
      <c r="M29" s="73">
        <v>45962</v>
      </c>
      <c r="N29" s="90"/>
    </row>
    <row r="30" spans="1:15" ht="25" customHeight="1">
      <c r="A30" s="70" t="s">
        <v>708</v>
      </c>
      <c r="B30" s="69"/>
      <c r="C30" s="68" t="s">
        <v>504</v>
      </c>
      <c r="D30" s="68" t="s">
        <v>707</v>
      </c>
      <c r="E30" s="68" t="s">
        <v>499</v>
      </c>
      <c r="F30" s="67">
        <v>762</v>
      </c>
      <c r="G30" s="66">
        <v>1200</v>
      </c>
      <c r="H30" s="66">
        <v>1075</v>
      </c>
      <c r="I30" s="81"/>
      <c r="J30" s="64">
        <v>0</v>
      </c>
      <c r="K30" s="63">
        <v>45819</v>
      </c>
      <c r="L30" s="63">
        <v>46568</v>
      </c>
      <c r="M30" s="63">
        <v>45819</v>
      </c>
      <c r="N30" s="91"/>
    </row>
    <row r="31" spans="1:15" ht="25" customHeight="1">
      <c r="A31" s="80" t="s">
        <v>706</v>
      </c>
      <c r="B31" s="79"/>
      <c r="C31" s="78" t="s">
        <v>504</v>
      </c>
      <c r="D31" s="78" t="s">
        <v>705</v>
      </c>
      <c r="E31" s="78" t="s">
        <v>499</v>
      </c>
      <c r="F31" s="77">
        <v>762</v>
      </c>
      <c r="G31" s="76">
        <v>1200</v>
      </c>
      <c r="H31" s="76">
        <v>1125</v>
      </c>
      <c r="I31" s="75"/>
      <c r="J31" s="74">
        <v>500</v>
      </c>
      <c r="K31" s="73">
        <v>45332</v>
      </c>
      <c r="L31" s="73">
        <v>46446</v>
      </c>
      <c r="M31" s="73">
        <v>45332</v>
      </c>
      <c r="N31" s="90"/>
    </row>
    <row r="32" spans="1:15" ht="25" customHeight="1">
      <c r="A32" s="70" t="s">
        <v>704</v>
      </c>
      <c r="B32" s="69"/>
      <c r="C32" s="68" t="s">
        <v>504</v>
      </c>
      <c r="D32" s="68" t="s">
        <v>703</v>
      </c>
      <c r="E32" s="68" t="s">
        <v>499</v>
      </c>
      <c r="F32" s="67">
        <v>762</v>
      </c>
      <c r="G32" s="66">
        <v>1200</v>
      </c>
      <c r="H32" s="66">
        <v>1100</v>
      </c>
      <c r="I32" s="81"/>
      <c r="J32" s="64">
        <v>300</v>
      </c>
      <c r="K32" s="63">
        <v>45999</v>
      </c>
      <c r="L32" s="63">
        <v>46356</v>
      </c>
      <c r="M32" s="63">
        <v>45999</v>
      </c>
      <c r="N32" s="91"/>
    </row>
    <row r="33" spans="1:14" ht="24" customHeight="1">
      <c r="A33" s="80" t="s">
        <v>702</v>
      </c>
      <c r="B33" s="79"/>
      <c r="C33" s="78" t="s">
        <v>504</v>
      </c>
      <c r="D33" s="78" t="s">
        <v>701</v>
      </c>
      <c r="E33" s="78" t="s">
        <v>499</v>
      </c>
      <c r="F33" s="77">
        <v>762</v>
      </c>
      <c r="G33" s="76">
        <v>1200</v>
      </c>
      <c r="H33" s="76">
        <v>1075</v>
      </c>
      <c r="I33" s="75"/>
      <c r="J33" s="74">
        <v>0</v>
      </c>
      <c r="K33" s="73">
        <v>45909</v>
      </c>
      <c r="L33" s="73">
        <v>46273</v>
      </c>
      <c r="M33" s="73">
        <v>45909</v>
      </c>
      <c r="N33" s="90"/>
    </row>
    <row r="34" spans="1:14" ht="25" customHeight="1">
      <c r="A34" s="70" t="s">
        <v>700</v>
      </c>
      <c r="B34" s="69"/>
      <c r="C34" s="68" t="s">
        <v>504</v>
      </c>
      <c r="D34" s="68" t="s">
        <v>699</v>
      </c>
      <c r="E34" s="68" t="s">
        <v>499</v>
      </c>
      <c r="F34" s="67">
        <v>762</v>
      </c>
      <c r="G34" s="66">
        <v>1200</v>
      </c>
      <c r="H34" s="66">
        <v>1150</v>
      </c>
      <c r="I34" s="64">
        <v>25</v>
      </c>
      <c r="J34" s="64">
        <v>500</v>
      </c>
      <c r="K34" s="63">
        <v>45544</v>
      </c>
      <c r="L34" s="63">
        <v>46273</v>
      </c>
      <c r="M34" s="63">
        <v>45544</v>
      </c>
      <c r="N34" s="91"/>
    </row>
    <row r="35" spans="1:14" ht="25" customHeight="1">
      <c r="A35" s="80" t="s">
        <v>698</v>
      </c>
      <c r="B35" s="79"/>
      <c r="C35" s="78" t="s">
        <v>504</v>
      </c>
      <c r="D35" s="78" t="s">
        <v>697</v>
      </c>
      <c r="E35" s="78" t="s">
        <v>499</v>
      </c>
      <c r="F35" s="77">
        <v>762</v>
      </c>
      <c r="G35" s="76">
        <v>1200</v>
      </c>
      <c r="H35" s="76">
        <v>1100</v>
      </c>
      <c r="I35" s="75"/>
      <c r="J35" s="74">
        <v>0</v>
      </c>
      <c r="K35" s="73">
        <v>45282</v>
      </c>
      <c r="L35" s="73">
        <v>46356</v>
      </c>
      <c r="M35" s="73">
        <v>45334</v>
      </c>
      <c r="N35" s="90"/>
    </row>
    <row r="36" spans="1:14" ht="25" customHeight="1">
      <c r="A36" s="70" t="s">
        <v>696</v>
      </c>
      <c r="B36" s="69"/>
      <c r="C36" s="68" t="s">
        <v>504</v>
      </c>
      <c r="D36" s="68" t="s">
        <v>695</v>
      </c>
      <c r="E36" s="68" t="s">
        <v>499</v>
      </c>
      <c r="F36" s="67">
        <v>762</v>
      </c>
      <c r="G36" s="66">
        <v>1200</v>
      </c>
      <c r="H36" s="66">
        <v>1100</v>
      </c>
      <c r="I36" s="64">
        <v>10</v>
      </c>
      <c r="J36" s="64">
        <v>500</v>
      </c>
      <c r="K36" s="63">
        <v>46120</v>
      </c>
      <c r="L36" s="63">
        <v>46484</v>
      </c>
      <c r="M36" s="63">
        <v>46120</v>
      </c>
      <c r="N36" s="91"/>
    </row>
    <row r="37" spans="1:14" ht="24" customHeight="1">
      <c r="A37" s="80" t="s">
        <v>694</v>
      </c>
      <c r="B37" s="79"/>
      <c r="C37" s="78" t="s">
        <v>501</v>
      </c>
      <c r="D37" s="78" t="s">
        <v>693</v>
      </c>
      <c r="E37" s="78" t="s">
        <v>499</v>
      </c>
      <c r="F37" s="77">
        <v>651</v>
      </c>
      <c r="G37" s="76">
        <v>1100</v>
      </c>
      <c r="H37" s="76">
        <v>1050</v>
      </c>
      <c r="I37" s="75"/>
      <c r="J37" s="74">
        <v>300</v>
      </c>
      <c r="K37" s="73">
        <v>45992</v>
      </c>
      <c r="L37" s="73">
        <v>46356</v>
      </c>
      <c r="M37" s="73">
        <v>45992</v>
      </c>
      <c r="N37" s="90"/>
    </row>
    <row r="38" spans="1:14" ht="25" customHeight="1">
      <c r="A38" s="70" t="s">
        <v>692</v>
      </c>
      <c r="B38" s="69"/>
      <c r="C38" s="68" t="s">
        <v>504</v>
      </c>
      <c r="D38" s="81"/>
      <c r="E38" s="68" t="s">
        <v>572</v>
      </c>
      <c r="F38" s="67">
        <v>762</v>
      </c>
      <c r="G38" s="66">
        <v>1200</v>
      </c>
      <c r="H38" s="81"/>
      <c r="I38" s="64">
        <v>0</v>
      </c>
      <c r="J38" s="64">
        <v>0</v>
      </c>
      <c r="K38" s="81"/>
      <c r="L38" s="81"/>
      <c r="M38" s="81"/>
      <c r="N38" s="91"/>
    </row>
    <row r="39" spans="1:14" ht="24.75" customHeight="1">
      <c r="A39" s="80" t="s">
        <v>691</v>
      </c>
      <c r="B39" s="79"/>
      <c r="C39" s="78" t="s">
        <v>504</v>
      </c>
      <c r="D39" s="78" t="s">
        <v>602</v>
      </c>
      <c r="E39" s="78" t="s">
        <v>499</v>
      </c>
      <c r="F39" s="77">
        <v>762</v>
      </c>
      <c r="G39" s="76">
        <v>1200</v>
      </c>
      <c r="H39" s="76">
        <v>1150</v>
      </c>
      <c r="I39" s="74">
        <v>100</v>
      </c>
      <c r="J39" s="74">
        <v>0</v>
      </c>
      <c r="K39" s="73">
        <v>45653</v>
      </c>
      <c r="L39" s="73">
        <v>46507</v>
      </c>
      <c r="M39" s="73">
        <v>45653</v>
      </c>
      <c r="N39" s="90"/>
    </row>
    <row r="40" spans="1:14" ht="25" customHeight="1">
      <c r="A40" s="70" t="s">
        <v>690</v>
      </c>
      <c r="B40" s="69"/>
      <c r="C40" s="68" t="s">
        <v>504</v>
      </c>
      <c r="D40" s="68" t="s">
        <v>689</v>
      </c>
      <c r="E40" s="68" t="s">
        <v>499</v>
      </c>
      <c r="F40" s="67">
        <v>762</v>
      </c>
      <c r="G40" s="66">
        <v>1200</v>
      </c>
      <c r="H40" s="66">
        <v>1100</v>
      </c>
      <c r="I40" s="81"/>
      <c r="J40" s="64">
        <v>0</v>
      </c>
      <c r="K40" s="63">
        <v>46096</v>
      </c>
      <c r="L40" s="63">
        <v>46446</v>
      </c>
      <c r="M40" s="62">
        <v>46096</v>
      </c>
      <c r="N40" s="61"/>
    </row>
    <row r="41" spans="1:14" ht="25" customHeight="1">
      <c r="A41" s="80" t="s">
        <v>688</v>
      </c>
      <c r="B41" s="79"/>
      <c r="C41" s="78" t="s">
        <v>504</v>
      </c>
      <c r="D41" s="78" t="s">
        <v>687</v>
      </c>
      <c r="E41" s="78" t="s">
        <v>499</v>
      </c>
      <c r="F41" s="77">
        <v>762</v>
      </c>
      <c r="G41" s="76">
        <v>1200</v>
      </c>
      <c r="H41" s="76">
        <v>1150</v>
      </c>
      <c r="I41" s="74">
        <v>50</v>
      </c>
      <c r="J41" s="74">
        <v>500</v>
      </c>
      <c r="K41" s="73">
        <v>45721</v>
      </c>
      <c r="L41" s="73">
        <v>46450</v>
      </c>
      <c r="M41" s="72">
        <v>45721</v>
      </c>
      <c r="N41" s="71"/>
    </row>
    <row r="42" spans="1:14" ht="24" customHeight="1">
      <c r="A42" s="70" t="s">
        <v>686</v>
      </c>
      <c r="B42" s="69"/>
      <c r="C42" s="68" t="s">
        <v>504</v>
      </c>
      <c r="D42" s="81"/>
      <c r="E42" s="68" t="s">
        <v>572</v>
      </c>
      <c r="F42" s="67">
        <v>762</v>
      </c>
      <c r="G42" s="66">
        <v>1200</v>
      </c>
      <c r="H42" s="81"/>
      <c r="I42" s="64">
        <v>0</v>
      </c>
      <c r="J42" s="64">
        <v>0</v>
      </c>
      <c r="K42" s="81"/>
      <c r="L42" s="81"/>
      <c r="M42" s="83"/>
      <c r="N42" s="82"/>
    </row>
    <row r="43" spans="1:14" ht="25" customHeight="1">
      <c r="A43" s="80" t="s">
        <v>685</v>
      </c>
      <c r="B43" s="79"/>
      <c r="C43" s="78" t="s">
        <v>504</v>
      </c>
      <c r="D43" s="78" t="s">
        <v>684</v>
      </c>
      <c r="E43" s="78" t="s">
        <v>499</v>
      </c>
      <c r="F43" s="77">
        <v>762</v>
      </c>
      <c r="G43" s="76">
        <v>1200</v>
      </c>
      <c r="H43" s="76">
        <v>1150</v>
      </c>
      <c r="I43" s="75"/>
      <c r="J43" s="74">
        <v>500</v>
      </c>
      <c r="K43" s="73">
        <v>45547</v>
      </c>
      <c r="L43" s="73">
        <v>46265</v>
      </c>
      <c r="M43" s="72">
        <v>45547</v>
      </c>
      <c r="N43" s="71"/>
    </row>
    <row r="44" spans="1:14" ht="25" customHeight="1">
      <c r="A44" s="70" t="s">
        <v>683</v>
      </c>
      <c r="B44" s="69"/>
      <c r="C44" s="68" t="s">
        <v>504</v>
      </c>
      <c r="D44" s="68" t="s">
        <v>682</v>
      </c>
      <c r="E44" s="68" t="s">
        <v>499</v>
      </c>
      <c r="F44" s="67">
        <v>762</v>
      </c>
      <c r="G44" s="66">
        <v>1200</v>
      </c>
      <c r="H44" s="66">
        <v>1100</v>
      </c>
      <c r="I44" s="81"/>
      <c r="J44" s="64">
        <v>0</v>
      </c>
      <c r="K44" s="63">
        <v>45951</v>
      </c>
      <c r="L44" s="63">
        <v>46315</v>
      </c>
      <c r="M44" s="62">
        <v>45951</v>
      </c>
      <c r="N44" s="61"/>
    </row>
    <row r="45" spans="1:14" ht="25" customHeight="1">
      <c r="A45" s="80" t="s">
        <v>681</v>
      </c>
      <c r="B45" s="79"/>
      <c r="C45" s="78" t="s">
        <v>504</v>
      </c>
      <c r="D45" s="78" t="s">
        <v>680</v>
      </c>
      <c r="E45" s="78" t="s">
        <v>499</v>
      </c>
      <c r="F45" s="77">
        <v>762</v>
      </c>
      <c r="G45" s="76">
        <v>1200</v>
      </c>
      <c r="H45" s="76">
        <v>1140</v>
      </c>
      <c r="I45" s="75"/>
      <c r="J45" s="74">
        <v>500</v>
      </c>
      <c r="K45" s="73">
        <v>45720</v>
      </c>
      <c r="L45" s="73">
        <v>46449</v>
      </c>
      <c r="M45" s="72">
        <v>45720</v>
      </c>
      <c r="N45" s="71"/>
    </row>
    <row r="46" spans="1:14" ht="24" customHeight="1">
      <c r="A46" s="70" t="s">
        <v>679</v>
      </c>
      <c r="B46" s="69"/>
      <c r="C46" s="68" t="s">
        <v>504</v>
      </c>
      <c r="D46" s="68" t="s">
        <v>678</v>
      </c>
      <c r="E46" s="68" t="s">
        <v>499</v>
      </c>
      <c r="F46" s="67">
        <v>762</v>
      </c>
      <c r="G46" s="66">
        <v>1200</v>
      </c>
      <c r="H46" s="66">
        <v>1150</v>
      </c>
      <c r="I46" s="81"/>
      <c r="J46" s="64">
        <v>500</v>
      </c>
      <c r="K46" s="63">
        <v>45565</v>
      </c>
      <c r="L46" s="63">
        <v>46265</v>
      </c>
      <c r="M46" s="62">
        <v>45565</v>
      </c>
      <c r="N46" s="61"/>
    </row>
    <row r="47" spans="1:14" ht="25" customHeight="1">
      <c r="A47" s="80" t="s">
        <v>677</v>
      </c>
      <c r="B47" s="79"/>
      <c r="C47" s="78" t="s">
        <v>504</v>
      </c>
      <c r="D47" s="78" t="s">
        <v>676</v>
      </c>
      <c r="E47" s="78" t="s">
        <v>499</v>
      </c>
      <c r="F47" s="77">
        <v>762</v>
      </c>
      <c r="G47" s="76">
        <v>1200</v>
      </c>
      <c r="H47" s="76">
        <v>1100</v>
      </c>
      <c r="I47" s="75"/>
      <c r="J47" s="74">
        <v>300</v>
      </c>
      <c r="K47" s="73">
        <v>46023</v>
      </c>
      <c r="L47" s="73">
        <v>46387</v>
      </c>
      <c r="M47" s="72">
        <v>46023</v>
      </c>
      <c r="N47" s="71"/>
    </row>
    <row r="48" spans="1:14" ht="25" customHeight="1">
      <c r="A48" s="70" t="s">
        <v>675</v>
      </c>
      <c r="B48" s="69"/>
      <c r="C48" s="68" t="s">
        <v>504</v>
      </c>
      <c r="D48" s="68" t="s">
        <v>674</v>
      </c>
      <c r="E48" s="68" t="s">
        <v>499</v>
      </c>
      <c r="F48" s="67">
        <v>762</v>
      </c>
      <c r="G48" s="66">
        <v>1200</v>
      </c>
      <c r="H48" s="66">
        <v>1100</v>
      </c>
      <c r="I48" s="81"/>
      <c r="J48" s="64">
        <v>300</v>
      </c>
      <c r="K48" s="63">
        <v>45954</v>
      </c>
      <c r="L48" s="63">
        <v>46318</v>
      </c>
      <c r="M48" s="62">
        <v>45954</v>
      </c>
      <c r="N48" s="61"/>
    </row>
    <row r="49" spans="1:14" ht="25" customHeight="1">
      <c r="A49" s="80" t="s">
        <v>673</v>
      </c>
      <c r="B49" s="79"/>
      <c r="C49" s="78" t="s">
        <v>504</v>
      </c>
      <c r="D49" s="78" t="s">
        <v>672</v>
      </c>
      <c r="E49" s="78" t="s">
        <v>499</v>
      </c>
      <c r="F49" s="77">
        <v>762</v>
      </c>
      <c r="G49" s="76">
        <v>1200</v>
      </c>
      <c r="H49" s="76">
        <v>1150</v>
      </c>
      <c r="I49" s="75"/>
      <c r="J49" s="74">
        <v>300</v>
      </c>
      <c r="K49" s="73">
        <v>45323</v>
      </c>
      <c r="L49" s="73">
        <v>46418</v>
      </c>
      <c r="M49" s="72">
        <v>44835</v>
      </c>
      <c r="N49" s="71"/>
    </row>
    <row r="50" spans="1:14" ht="24" customHeight="1">
      <c r="A50" s="70" t="s">
        <v>671</v>
      </c>
      <c r="B50" s="69"/>
      <c r="C50" s="68" t="s">
        <v>501</v>
      </c>
      <c r="D50" s="68" t="s">
        <v>670</v>
      </c>
      <c r="E50" s="68" t="s">
        <v>499</v>
      </c>
      <c r="F50" s="67">
        <v>651</v>
      </c>
      <c r="G50" s="66">
        <v>1100</v>
      </c>
      <c r="H50" s="66">
        <v>1050</v>
      </c>
      <c r="I50" s="81"/>
      <c r="J50" s="64">
        <v>500</v>
      </c>
      <c r="K50" s="63">
        <v>45786</v>
      </c>
      <c r="L50" s="63">
        <v>46265</v>
      </c>
      <c r="M50" s="62">
        <v>45786</v>
      </c>
      <c r="N50" s="61"/>
    </row>
    <row r="51" spans="1:14" ht="25" customHeight="1">
      <c r="A51" s="80" t="s">
        <v>669</v>
      </c>
      <c r="B51" s="79"/>
      <c r="C51" s="78" t="s">
        <v>504</v>
      </c>
      <c r="D51" s="78" t="s">
        <v>668</v>
      </c>
      <c r="E51" s="78" t="s">
        <v>499</v>
      </c>
      <c r="F51" s="77">
        <v>762</v>
      </c>
      <c r="G51" s="76">
        <v>1200</v>
      </c>
      <c r="H51" s="76">
        <v>1115</v>
      </c>
      <c r="I51" s="74">
        <v>20</v>
      </c>
      <c r="J51" s="74">
        <v>0</v>
      </c>
      <c r="K51" s="73">
        <v>45078</v>
      </c>
      <c r="L51" s="73">
        <v>46599</v>
      </c>
      <c r="M51" s="72">
        <v>44410</v>
      </c>
      <c r="N51" s="71"/>
    </row>
    <row r="52" spans="1:14" ht="25" customHeight="1">
      <c r="A52" s="70" t="s">
        <v>667</v>
      </c>
      <c r="B52" s="69"/>
      <c r="C52" s="68" t="s">
        <v>504</v>
      </c>
      <c r="D52" s="68" t="s">
        <v>666</v>
      </c>
      <c r="E52" s="68" t="s">
        <v>499</v>
      </c>
      <c r="F52" s="67">
        <v>762</v>
      </c>
      <c r="G52" s="66">
        <v>1200</v>
      </c>
      <c r="H52" s="66">
        <v>1100</v>
      </c>
      <c r="I52" s="81"/>
      <c r="J52" s="64">
        <v>0</v>
      </c>
      <c r="K52" s="63">
        <v>45906</v>
      </c>
      <c r="L52" s="63">
        <v>46270</v>
      </c>
      <c r="M52" s="62">
        <v>45906</v>
      </c>
      <c r="N52" s="61"/>
    </row>
    <row r="53" spans="1:14" ht="25" customHeight="1">
      <c r="A53" s="80" t="s">
        <v>665</v>
      </c>
      <c r="B53" s="79"/>
      <c r="C53" s="78" t="s">
        <v>504</v>
      </c>
      <c r="D53" s="75"/>
      <c r="E53" s="78" t="s">
        <v>510</v>
      </c>
      <c r="F53" s="77">
        <v>762</v>
      </c>
      <c r="G53" s="76">
        <v>1200</v>
      </c>
      <c r="H53" s="75"/>
      <c r="I53" s="74">
        <v>0</v>
      </c>
      <c r="J53" s="74">
        <v>0</v>
      </c>
      <c r="K53" s="75"/>
      <c r="L53" s="75"/>
      <c r="M53" s="85"/>
      <c r="N53" s="84"/>
    </row>
    <row r="54" spans="1:14" ht="24" customHeight="1">
      <c r="A54" s="70" t="s">
        <v>664</v>
      </c>
      <c r="B54" s="69"/>
      <c r="C54" s="68" t="s">
        <v>504</v>
      </c>
      <c r="D54" s="68" t="s">
        <v>663</v>
      </c>
      <c r="E54" s="68" t="s">
        <v>499</v>
      </c>
      <c r="F54" s="67">
        <v>762</v>
      </c>
      <c r="G54" s="66">
        <v>1200</v>
      </c>
      <c r="H54" s="66">
        <v>1100</v>
      </c>
      <c r="I54" s="64">
        <v>25</v>
      </c>
      <c r="J54" s="64">
        <v>0</v>
      </c>
      <c r="K54" s="63">
        <v>45804</v>
      </c>
      <c r="L54" s="63">
        <v>46234</v>
      </c>
      <c r="M54" s="62">
        <v>45804</v>
      </c>
      <c r="N54" s="61"/>
    </row>
    <row r="55" spans="1:14" ht="25" customHeight="1">
      <c r="A55" s="80" t="s">
        <v>662</v>
      </c>
      <c r="B55" s="79"/>
      <c r="C55" s="78" t="s">
        <v>504</v>
      </c>
      <c r="D55" s="78" t="s">
        <v>661</v>
      </c>
      <c r="E55" s="78" t="s">
        <v>499</v>
      </c>
      <c r="F55" s="77">
        <v>762</v>
      </c>
      <c r="G55" s="76">
        <v>1200</v>
      </c>
      <c r="H55" s="76">
        <v>1100</v>
      </c>
      <c r="I55" s="75"/>
      <c r="J55" s="74">
        <v>300</v>
      </c>
      <c r="K55" s="73">
        <v>45954</v>
      </c>
      <c r="L55" s="73">
        <v>46318</v>
      </c>
      <c r="M55" s="72">
        <v>45954</v>
      </c>
      <c r="N55" s="71"/>
    </row>
    <row r="56" spans="1:14" ht="25" customHeight="1">
      <c r="A56" s="70" t="s">
        <v>660</v>
      </c>
      <c r="B56" s="69"/>
      <c r="C56" s="68" t="s">
        <v>504</v>
      </c>
      <c r="D56" s="68" t="s">
        <v>659</v>
      </c>
      <c r="E56" s="68" t="s">
        <v>499</v>
      </c>
      <c r="F56" s="67">
        <v>762</v>
      </c>
      <c r="G56" s="66">
        <v>1200</v>
      </c>
      <c r="H56" s="66">
        <v>1100</v>
      </c>
      <c r="I56" s="81"/>
      <c r="J56" s="64">
        <v>250</v>
      </c>
      <c r="K56" s="63">
        <v>46185</v>
      </c>
      <c r="L56" s="63">
        <v>46538</v>
      </c>
      <c r="M56" s="62">
        <v>46185</v>
      </c>
      <c r="N56" s="61"/>
    </row>
    <row r="57" spans="1:14" ht="25" customHeight="1">
      <c r="A57" s="80" t="s">
        <v>658</v>
      </c>
      <c r="B57" s="79"/>
      <c r="C57" s="78" t="s">
        <v>504</v>
      </c>
      <c r="D57" s="75"/>
      <c r="E57" s="78" t="s">
        <v>572</v>
      </c>
      <c r="F57" s="77">
        <v>762</v>
      </c>
      <c r="G57" s="76">
        <v>1200</v>
      </c>
      <c r="H57" s="75"/>
      <c r="I57" s="74">
        <v>0</v>
      </c>
      <c r="J57" s="74">
        <v>0</v>
      </c>
      <c r="K57" s="75"/>
      <c r="L57" s="75"/>
      <c r="M57" s="85"/>
      <c r="N57" s="84"/>
    </row>
    <row r="58" spans="1:14" ht="24" customHeight="1">
      <c r="A58" s="70" t="s">
        <v>657</v>
      </c>
      <c r="B58" s="69"/>
      <c r="C58" s="68" t="s">
        <v>501</v>
      </c>
      <c r="D58" s="68" t="s">
        <v>656</v>
      </c>
      <c r="E58" s="68" t="s">
        <v>499</v>
      </c>
      <c r="F58" s="67">
        <v>651</v>
      </c>
      <c r="G58" s="66">
        <v>1100</v>
      </c>
      <c r="H58" s="66">
        <v>1050</v>
      </c>
      <c r="I58" s="81"/>
      <c r="J58" s="64">
        <v>500</v>
      </c>
      <c r="K58" s="63">
        <v>46143</v>
      </c>
      <c r="L58" s="63">
        <v>46326</v>
      </c>
      <c r="M58" s="62">
        <v>46143</v>
      </c>
      <c r="N58" s="61"/>
    </row>
    <row r="59" spans="1:14" ht="25" customHeight="1">
      <c r="A59" s="80" t="s">
        <v>655</v>
      </c>
      <c r="B59" s="79"/>
      <c r="C59" s="78" t="s">
        <v>504</v>
      </c>
      <c r="D59" s="78" t="s">
        <v>654</v>
      </c>
      <c r="E59" s="78" t="s">
        <v>499</v>
      </c>
      <c r="F59" s="77">
        <v>762</v>
      </c>
      <c r="G59" s="76">
        <v>1200</v>
      </c>
      <c r="H59" s="76">
        <v>1100</v>
      </c>
      <c r="I59" s="75"/>
      <c r="J59" s="74">
        <v>300</v>
      </c>
      <c r="K59" s="73">
        <v>45975</v>
      </c>
      <c r="L59" s="73">
        <v>46326</v>
      </c>
      <c r="M59" s="72">
        <v>45975</v>
      </c>
      <c r="N59" s="71"/>
    </row>
    <row r="60" spans="1:14" ht="15" customHeight="1">
      <c r="A60" s="70" t="s">
        <v>576</v>
      </c>
      <c r="B60" s="69"/>
      <c r="C60" s="68" t="s">
        <v>504</v>
      </c>
      <c r="D60" s="68" t="s">
        <v>653</v>
      </c>
      <c r="E60" s="68" t="s">
        <v>499</v>
      </c>
      <c r="F60" s="67">
        <v>762</v>
      </c>
      <c r="G60" s="66">
        <v>1200</v>
      </c>
      <c r="H60" s="66">
        <v>1100</v>
      </c>
      <c r="I60" s="89"/>
      <c r="J60" s="64">
        <v>500</v>
      </c>
      <c r="K60" s="63">
        <v>45783</v>
      </c>
      <c r="L60" s="63">
        <v>46512</v>
      </c>
      <c r="M60" s="62">
        <v>45783</v>
      </c>
      <c r="N60" s="61"/>
    </row>
    <row r="61" spans="1:14" ht="25" customHeight="1">
      <c r="A61" s="80" t="s">
        <v>652</v>
      </c>
      <c r="B61" s="79"/>
      <c r="C61" s="78" t="s">
        <v>504</v>
      </c>
      <c r="D61" s="78" t="s">
        <v>651</v>
      </c>
      <c r="E61" s="78" t="s">
        <v>499</v>
      </c>
      <c r="F61" s="77">
        <v>762</v>
      </c>
      <c r="G61" s="76">
        <v>1200</v>
      </c>
      <c r="H61" s="76">
        <v>1115</v>
      </c>
      <c r="I61" s="75"/>
      <c r="J61" s="74">
        <v>500</v>
      </c>
      <c r="K61" s="73">
        <v>45549</v>
      </c>
      <c r="L61" s="73">
        <v>46326</v>
      </c>
      <c r="M61" s="72">
        <v>45184</v>
      </c>
      <c r="N61" s="71"/>
    </row>
    <row r="62" spans="1:14" ht="25" customHeight="1">
      <c r="A62" s="70" t="s">
        <v>650</v>
      </c>
      <c r="B62" s="69"/>
      <c r="C62" s="68" t="s">
        <v>504</v>
      </c>
      <c r="D62" s="68" t="s">
        <v>649</v>
      </c>
      <c r="E62" s="68" t="s">
        <v>499</v>
      </c>
      <c r="F62" s="67">
        <v>762</v>
      </c>
      <c r="G62" s="66">
        <v>1200</v>
      </c>
      <c r="H62" s="66">
        <v>1100</v>
      </c>
      <c r="I62" s="81"/>
      <c r="J62" s="64">
        <v>500</v>
      </c>
      <c r="K62" s="63">
        <v>45964</v>
      </c>
      <c r="L62" s="63">
        <v>46329</v>
      </c>
      <c r="M62" s="62">
        <v>45964</v>
      </c>
      <c r="N62" s="61"/>
    </row>
    <row r="63" spans="1:14" ht="24" customHeight="1">
      <c r="A63" s="80" t="s">
        <v>648</v>
      </c>
      <c r="B63" s="79"/>
      <c r="C63" s="78" t="s">
        <v>504</v>
      </c>
      <c r="D63" s="78" t="s">
        <v>647</v>
      </c>
      <c r="E63" s="78" t="s">
        <v>499</v>
      </c>
      <c r="F63" s="77">
        <v>762</v>
      </c>
      <c r="G63" s="76">
        <v>1200</v>
      </c>
      <c r="H63" s="76">
        <v>1100</v>
      </c>
      <c r="I63" s="75"/>
      <c r="J63" s="74">
        <v>500</v>
      </c>
      <c r="K63" s="73">
        <v>46126</v>
      </c>
      <c r="L63" s="73">
        <v>46507</v>
      </c>
      <c r="M63" s="72">
        <v>46126</v>
      </c>
      <c r="N63" s="71"/>
    </row>
    <row r="64" spans="1:14" ht="25" customHeight="1">
      <c r="A64" s="70" t="s">
        <v>646</v>
      </c>
      <c r="B64" s="69"/>
      <c r="C64" s="68" t="s">
        <v>504</v>
      </c>
      <c r="D64" s="68" t="s">
        <v>645</v>
      </c>
      <c r="E64" s="68" t="s">
        <v>499</v>
      </c>
      <c r="F64" s="67">
        <v>762</v>
      </c>
      <c r="G64" s="66">
        <v>1200</v>
      </c>
      <c r="H64" s="66">
        <v>1150</v>
      </c>
      <c r="I64" s="81"/>
      <c r="J64" s="64">
        <v>0</v>
      </c>
      <c r="K64" s="63">
        <v>45748</v>
      </c>
      <c r="L64" s="63">
        <v>46235</v>
      </c>
      <c r="M64" s="62">
        <v>45748</v>
      </c>
      <c r="N64" s="61"/>
    </row>
    <row r="65" spans="1:14" ht="25" customHeight="1">
      <c r="A65" s="80" t="s">
        <v>644</v>
      </c>
      <c r="B65" s="79"/>
      <c r="C65" s="78" t="s">
        <v>504</v>
      </c>
      <c r="D65" s="78" t="s">
        <v>643</v>
      </c>
      <c r="E65" s="78" t="s">
        <v>499</v>
      </c>
      <c r="F65" s="77">
        <v>762</v>
      </c>
      <c r="G65" s="76">
        <v>1200</v>
      </c>
      <c r="H65" s="76">
        <v>1100</v>
      </c>
      <c r="I65" s="75"/>
      <c r="J65" s="74">
        <v>500</v>
      </c>
      <c r="K65" s="73">
        <v>45931</v>
      </c>
      <c r="L65" s="73">
        <v>46295</v>
      </c>
      <c r="M65" s="72">
        <v>45931</v>
      </c>
      <c r="N65" s="71"/>
    </row>
    <row r="66" spans="1:14" ht="25" customHeight="1">
      <c r="A66" s="70" t="s">
        <v>642</v>
      </c>
      <c r="B66" s="69"/>
      <c r="C66" s="68" t="s">
        <v>504</v>
      </c>
      <c r="D66" s="68" t="s">
        <v>641</v>
      </c>
      <c r="E66" s="68" t="s">
        <v>499</v>
      </c>
      <c r="F66" s="67">
        <v>762</v>
      </c>
      <c r="G66" s="66">
        <v>1200</v>
      </c>
      <c r="H66" s="66">
        <v>1100</v>
      </c>
      <c r="I66" s="81"/>
      <c r="J66" s="64">
        <v>300</v>
      </c>
      <c r="K66" s="63">
        <v>45968</v>
      </c>
      <c r="L66" s="63">
        <v>46332</v>
      </c>
      <c r="M66" s="62">
        <v>45968</v>
      </c>
      <c r="N66" s="61"/>
    </row>
    <row r="67" spans="1:14" ht="24" customHeight="1">
      <c r="A67" s="80" t="s">
        <v>640</v>
      </c>
      <c r="B67" s="79"/>
      <c r="C67" s="78" t="s">
        <v>504</v>
      </c>
      <c r="D67" s="78" t="s">
        <v>639</v>
      </c>
      <c r="E67" s="78" t="s">
        <v>499</v>
      </c>
      <c r="F67" s="77">
        <v>762</v>
      </c>
      <c r="G67" s="76">
        <v>1200</v>
      </c>
      <c r="H67" s="76">
        <v>1100</v>
      </c>
      <c r="I67" s="75"/>
      <c r="J67" s="74">
        <v>0</v>
      </c>
      <c r="K67" s="73">
        <v>45903</v>
      </c>
      <c r="L67" s="73">
        <v>46265</v>
      </c>
      <c r="M67" s="72">
        <v>45904</v>
      </c>
      <c r="N67" s="71"/>
    </row>
    <row r="68" spans="1:14" ht="25" customHeight="1">
      <c r="A68" s="70" t="s">
        <v>638</v>
      </c>
      <c r="B68" s="69"/>
      <c r="C68" s="68" t="s">
        <v>501</v>
      </c>
      <c r="D68" s="68" t="s">
        <v>637</v>
      </c>
      <c r="E68" s="68" t="s">
        <v>499</v>
      </c>
      <c r="F68" s="67">
        <v>651</v>
      </c>
      <c r="G68" s="66">
        <v>1100</v>
      </c>
      <c r="H68" s="66">
        <v>1050</v>
      </c>
      <c r="I68" s="81"/>
      <c r="J68" s="64">
        <v>500</v>
      </c>
      <c r="K68" s="63">
        <v>46146</v>
      </c>
      <c r="L68" s="63">
        <v>46538</v>
      </c>
      <c r="M68" s="62">
        <v>46148</v>
      </c>
      <c r="N68" s="61"/>
    </row>
    <row r="69" spans="1:14" ht="25" customHeight="1">
      <c r="A69" s="80" t="s">
        <v>636</v>
      </c>
      <c r="B69" s="79"/>
      <c r="C69" s="78" t="s">
        <v>504</v>
      </c>
      <c r="D69" s="78" t="s">
        <v>635</v>
      </c>
      <c r="E69" s="78" t="s">
        <v>499</v>
      </c>
      <c r="F69" s="77">
        <v>762</v>
      </c>
      <c r="G69" s="76">
        <v>1200</v>
      </c>
      <c r="H69" s="76">
        <v>1200</v>
      </c>
      <c r="I69" s="74">
        <v>10</v>
      </c>
      <c r="J69" s="74">
        <v>0</v>
      </c>
      <c r="K69" s="73">
        <v>45413</v>
      </c>
      <c r="L69" s="73">
        <v>46326</v>
      </c>
      <c r="M69" s="72">
        <v>43709</v>
      </c>
      <c r="N69" s="71"/>
    </row>
    <row r="70" spans="1:14" ht="25" customHeight="1">
      <c r="A70" s="70" t="s">
        <v>634</v>
      </c>
      <c r="B70" s="69"/>
      <c r="C70" s="68" t="s">
        <v>504</v>
      </c>
      <c r="D70" s="68" t="s">
        <v>633</v>
      </c>
      <c r="E70" s="68" t="s">
        <v>499</v>
      </c>
      <c r="F70" s="67">
        <v>762</v>
      </c>
      <c r="G70" s="66">
        <v>1200</v>
      </c>
      <c r="H70" s="66">
        <v>1150</v>
      </c>
      <c r="I70" s="81"/>
      <c r="J70" s="64">
        <v>0</v>
      </c>
      <c r="K70" s="63">
        <v>45170</v>
      </c>
      <c r="L70" s="63">
        <v>46265</v>
      </c>
      <c r="M70" s="62">
        <v>43770</v>
      </c>
      <c r="N70" s="61"/>
    </row>
    <row r="71" spans="1:14" ht="24" customHeight="1">
      <c r="A71" s="80" t="s">
        <v>632</v>
      </c>
      <c r="B71" s="79"/>
      <c r="C71" s="78" t="s">
        <v>504</v>
      </c>
      <c r="D71" s="78" t="s">
        <v>631</v>
      </c>
      <c r="E71" s="78" t="s">
        <v>499</v>
      </c>
      <c r="F71" s="77">
        <v>762</v>
      </c>
      <c r="G71" s="76">
        <v>1200</v>
      </c>
      <c r="H71" s="76">
        <v>1100</v>
      </c>
      <c r="I71" s="75"/>
      <c r="J71" s="74">
        <v>279.10000000000002</v>
      </c>
      <c r="K71" s="73">
        <v>46168</v>
      </c>
      <c r="L71" s="73">
        <v>46507</v>
      </c>
      <c r="M71" s="72">
        <v>46168</v>
      </c>
      <c r="N71" s="71"/>
    </row>
    <row r="72" spans="1:14" ht="25" customHeight="1">
      <c r="A72" s="70" t="s">
        <v>630</v>
      </c>
      <c r="B72" s="69"/>
      <c r="C72" s="68" t="s">
        <v>504</v>
      </c>
      <c r="D72" s="81"/>
      <c r="E72" s="68" t="s">
        <v>572</v>
      </c>
      <c r="F72" s="67">
        <v>762</v>
      </c>
      <c r="G72" s="66">
        <v>1200</v>
      </c>
      <c r="H72" s="81"/>
      <c r="I72" s="64">
        <v>0</v>
      </c>
      <c r="J72" s="64">
        <v>0</v>
      </c>
      <c r="K72" s="81"/>
      <c r="L72" s="81"/>
      <c r="M72" s="83"/>
      <c r="N72" s="82"/>
    </row>
    <row r="73" spans="1:14" ht="25" customHeight="1">
      <c r="A73" s="80" t="s">
        <v>629</v>
      </c>
      <c r="B73" s="79"/>
      <c r="C73" s="78" t="s">
        <v>501</v>
      </c>
      <c r="D73" s="78" t="s">
        <v>628</v>
      </c>
      <c r="E73" s="78" t="s">
        <v>499</v>
      </c>
      <c r="F73" s="77">
        <v>651</v>
      </c>
      <c r="G73" s="76">
        <v>1100</v>
      </c>
      <c r="H73" s="76">
        <v>1100</v>
      </c>
      <c r="I73" s="75"/>
      <c r="J73" s="74">
        <v>500</v>
      </c>
      <c r="K73" s="73">
        <v>45540</v>
      </c>
      <c r="L73" s="73">
        <v>46295</v>
      </c>
      <c r="M73" s="72">
        <v>45540</v>
      </c>
      <c r="N73" s="71"/>
    </row>
    <row r="74" spans="1:14" ht="25" customHeight="1">
      <c r="A74" s="70" t="s">
        <v>627</v>
      </c>
      <c r="B74" s="69"/>
      <c r="C74" s="68" t="s">
        <v>504</v>
      </c>
      <c r="D74" s="68" t="s">
        <v>626</v>
      </c>
      <c r="E74" s="68" t="s">
        <v>499</v>
      </c>
      <c r="F74" s="67">
        <v>762</v>
      </c>
      <c r="G74" s="66">
        <v>1200</v>
      </c>
      <c r="H74" s="66">
        <v>1200</v>
      </c>
      <c r="I74" s="64">
        <v>10.5</v>
      </c>
      <c r="J74" s="64">
        <v>0</v>
      </c>
      <c r="K74" s="63">
        <v>46178</v>
      </c>
      <c r="L74" s="63">
        <v>46568</v>
      </c>
      <c r="M74" s="62">
        <v>46178</v>
      </c>
      <c r="N74" s="61"/>
    </row>
    <row r="75" spans="1:14" ht="24" customHeight="1">
      <c r="A75" s="80" t="s">
        <v>625</v>
      </c>
      <c r="B75" s="79"/>
      <c r="C75" s="78" t="s">
        <v>504</v>
      </c>
      <c r="D75" s="78" t="s">
        <v>624</v>
      </c>
      <c r="E75" s="78" t="s">
        <v>499</v>
      </c>
      <c r="F75" s="77">
        <v>762</v>
      </c>
      <c r="G75" s="76">
        <v>1200</v>
      </c>
      <c r="H75" s="76">
        <v>1150</v>
      </c>
      <c r="I75" s="75"/>
      <c r="J75" s="74">
        <v>500</v>
      </c>
      <c r="K75" s="73">
        <v>45597</v>
      </c>
      <c r="L75" s="73">
        <v>46326</v>
      </c>
      <c r="M75" s="72">
        <v>45597</v>
      </c>
      <c r="N75" s="71"/>
    </row>
    <row r="76" spans="1:14" ht="25" customHeight="1">
      <c r="A76" s="70" t="s">
        <v>623</v>
      </c>
      <c r="B76" s="69"/>
      <c r="C76" s="68" t="s">
        <v>504</v>
      </c>
      <c r="D76" s="68" t="s">
        <v>622</v>
      </c>
      <c r="E76" s="68" t="s">
        <v>499</v>
      </c>
      <c r="F76" s="67">
        <v>762</v>
      </c>
      <c r="G76" s="66">
        <v>1200</v>
      </c>
      <c r="H76" s="66">
        <v>1115</v>
      </c>
      <c r="I76" s="81"/>
      <c r="J76" s="64">
        <v>300</v>
      </c>
      <c r="K76" s="63">
        <v>45323</v>
      </c>
      <c r="L76" s="63">
        <v>46418</v>
      </c>
      <c r="M76" s="62">
        <v>44916</v>
      </c>
      <c r="N76" s="61"/>
    </row>
    <row r="77" spans="1:14" ht="25" customHeight="1">
      <c r="A77" s="80" t="s">
        <v>621</v>
      </c>
      <c r="B77" s="79"/>
      <c r="C77" s="78" t="s">
        <v>504</v>
      </c>
      <c r="D77" s="78" t="s">
        <v>620</v>
      </c>
      <c r="E77" s="78" t="s">
        <v>499</v>
      </c>
      <c r="F77" s="77">
        <v>762</v>
      </c>
      <c r="G77" s="76">
        <v>1200</v>
      </c>
      <c r="H77" s="76">
        <v>1100</v>
      </c>
      <c r="I77" s="75"/>
      <c r="J77" s="74">
        <v>500</v>
      </c>
      <c r="K77" s="73">
        <v>46054</v>
      </c>
      <c r="L77" s="73">
        <v>46418</v>
      </c>
      <c r="M77" s="72">
        <v>46054</v>
      </c>
      <c r="N77" s="71"/>
    </row>
    <row r="78" spans="1:14" ht="25" customHeight="1">
      <c r="A78" s="70" t="s">
        <v>619</v>
      </c>
      <c r="B78" s="69"/>
      <c r="C78" s="68" t="s">
        <v>504</v>
      </c>
      <c r="D78" s="68" t="s">
        <v>618</v>
      </c>
      <c r="E78" s="68" t="s">
        <v>499</v>
      </c>
      <c r="F78" s="67">
        <v>762</v>
      </c>
      <c r="G78" s="66">
        <v>1200</v>
      </c>
      <c r="H78" s="66">
        <v>1100</v>
      </c>
      <c r="I78" s="81"/>
      <c r="J78" s="64">
        <v>500</v>
      </c>
      <c r="K78" s="63">
        <v>46031</v>
      </c>
      <c r="L78" s="63">
        <v>46387</v>
      </c>
      <c r="M78" s="62">
        <v>46031</v>
      </c>
      <c r="N78" s="61"/>
    </row>
    <row r="79" spans="1:14" ht="24" customHeight="1">
      <c r="A79" s="80" t="s">
        <v>617</v>
      </c>
      <c r="B79" s="79"/>
      <c r="C79" s="78" t="s">
        <v>504</v>
      </c>
      <c r="D79" s="78" t="s">
        <v>616</v>
      </c>
      <c r="E79" s="78" t="s">
        <v>499</v>
      </c>
      <c r="F79" s="77">
        <v>762</v>
      </c>
      <c r="G79" s="76">
        <v>1200</v>
      </c>
      <c r="H79" s="76">
        <v>1100</v>
      </c>
      <c r="I79" s="75"/>
      <c r="J79" s="74">
        <v>500</v>
      </c>
      <c r="K79" s="73">
        <v>46054</v>
      </c>
      <c r="L79" s="73">
        <v>46418</v>
      </c>
      <c r="M79" s="72">
        <v>46054</v>
      </c>
      <c r="N79" s="71"/>
    </row>
    <row r="80" spans="1:14" ht="25" customHeight="1">
      <c r="A80" s="70" t="s">
        <v>615</v>
      </c>
      <c r="B80" s="69"/>
      <c r="C80" s="68" t="s">
        <v>504</v>
      </c>
      <c r="D80" s="81"/>
      <c r="E80" s="68" t="s">
        <v>572</v>
      </c>
      <c r="F80" s="67">
        <v>762</v>
      </c>
      <c r="G80" s="66">
        <v>1200</v>
      </c>
      <c r="H80" s="81"/>
      <c r="I80" s="64">
        <v>0</v>
      </c>
      <c r="J80" s="64">
        <v>0</v>
      </c>
      <c r="K80" s="81"/>
      <c r="L80" s="81"/>
      <c r="M80" s="83"/>
      <c r="N80" s="82"/>
    </row>
    <row r="81" spans="1:14" ht="25" customHeight="1">
      <c r="A81" s="80" t="s">
        <v>614</v>
      </c>
      <c r="B81" s="79"/>
      <c r="C81" s="78" t="s">
        <v>501</v>
      </c>
      <c r="D81" s="78" t="s">
        <v>613</v>
      </c>
      <c r="E81" s="78" t="s">
        <v>499</v>
      </c>
      <c r="F81" s="77">
        <v>651</v>
      </c>
      <c r="G81" s="76">
        <v>1100</v>
      </c>
      <c r="H81" s="76">
        <v>1050</v>
      </c>
      <c r="I81" s="74">
        <v>25</v>
      </c>
      <c r="J81" s="74">
        <v>500</v>
      </c>
      <c r="K81" s="73">
        <v>45931</v>
      </c>
      <c r="L81" s="73">
        <v>46295</v>
      </c>
      <c r="M81" s="72">
        <v>45931</v>
      </c>
      <c r="N81" s="71"/>
    </row>
    <row r="82" spans="1:14" ht="25" customHeight="1">
      <c r="A82" s="70" t="s">
        <v>612</v>
      </c>
      <c r="B82" s="69"/>
      <c r="C82" s="68" t="s">
        <v>504</v>
      </c>
      <c r="D82" s="68" t="s">
        <v>611</v>
      </c>
      <c r="E82" s="68" t="s">
        <v>499</v>
      </c>
      <c r="F82" s="67">
        <v>762</v>
      </c>
      <c r="G82" s="66">
        <v>1200</v>
      </c>
      <c r="H82" s="66">
        <v>1150</v>
      </c>
      <c r="I82" s="81"/>
      <c r="J82" s="64">
        <v>500</v>
      </c>
      <c r="K82" s="63">
        <v>45577</v>
      </c>
      <c r="L82" s="63">
        <v>46306</v>
      </c>
      <c r="M82" s="62">
        <v>45577</v>
      </c>
      <c r="N82" s="61"/>
    </row>
    <row r="83" spans="1:14" ht="24" customHeight="1">
      <c r="A83" s="80" t="s">
        <v>610</v>
      </c>
      <c r="B83" s="79"/>
      <c r="C83" s="78" t="s">
        <v>504</v>
      </c>
      <c r="D83" s="78" t="s">
        <v>609</v>
      </c>
      <c r="E83" s="78" t="s">
        <v>499</v>
      </c>
      <c r="F83" s="77">
        <v>762</v>
      </c>
      <c r="G83" s="76">
        <v>1200</v>
      </c>
      <c r="H83" s="76">
        <v>1100</v>
      </c>
      <c r="I83" s="74">
        <v>25</v>
      </c>
      <c r="J83" s="74">
        <v>500</v>
      </c>
      <c r="K83" s="73">
        <v>45471</v>
      </c>
      <c r="L83" s="73">
        <v>46568</v>
      </c>
      <c r="M83" s="72">
        <v>45471</v>
      </c>
      <c r="N83" s="71"/>
    </row>
    <row r="84" spans="1:14" ht="25" customHeight="1">
      <c r="A84" s="70" t="s">
        <v>608</v>
      </c>
      <c r="B84" s="69"/>
      <c r="C84" s="68" t="s">
        <v>504</v>
      </c>
      <c r="D84" s="68" t="s">
        <v>607</v>
      </c>
      <c r="E84" s="68" t="s">
        <v>499</v>
      </c>
      <c r="F84" s="67">
        <v>762</v>
      </c>
      <c r="G84" s="66">
        <v>1200</v>
      </c>
      <c r="H84" s="66">
        <v>1005</v>
      </c>
      <c r="I84" s="81"/>
      <c r="J84" s="64">
        <v>300</v>
      </c>
      <c r="K84" s="63">
        <v>45200</v>
      </c>
      <c r="L84" s="63">
        <v>46326</v>
      </c>
      <c r="M84" s="62">
        <v>44825</v>
      </c>
      <c r="N84" s="61"/>
    </row>
    <row r="85" spans="1:14" ht="25" customHeight="1">
      <c r="A85" s="80" t="s">
        <v>606</v>
      </c>
      <c r="B85" s="79"/>
      <c r="C85" s="78" t="s">
        <v>504</v>
      </c>
      <c r="D85" s="75"/>
      <c r="E85" s="78" t="s">
        <v>572</v>
      </c>
      <c r="F85" s="77">
        <v>762</v>
      </c>
      <c r="G85" s="76">
        <v>1200</v>
      </c>
      <c r="H85" s="75"/>
      <c r="I85" s="74">
        <v>0</v>
      </c>
      <c r="J85" s="74">
        <v>0</v>
      </c>
      <c r="K85" s="75"/>
      <c r="L85" s="75"/>
      <c r="M85" s="85"/>
      <c r="N85" s="84"/>
    </row>
    <row r="86" spans="1:14" ht="25" customHeight="1">
      <c r="A86" s="70" t="s">
        <v>605</v>
      </c>
      <c r="B86" s="69"/>
      <c r="C86" s="68" t="s">
        <v>504</v>
      </c>
      <c r="D86" s="68" t="s">
        <v>604</v>
      </c>
      <c r="E86" s="68" t="s">
        <v>499</v>
      </c>
      <c r="F86" s="67">
        <v>762</v>
      </c>
      <c r="G86" s="66">
        <v>1200</v>
      </c>
      <c r="H86" s="66">
        <v>1100</v>
      </c>
      <c r="I86" s="81"/>
      <c r="J86" s="64">
        <v>500</v>
      </c>
      <c r="K86" s="63">
        <v>46085</v>
      </c>
      <c r="L86" s="63">
        <v>46446</v>
      </c>
      <c r="M86" s="62">
        <v>46085</v>
      </c>
      <c r="N86" s="61"/>
    </row>
    <row r="87" spans="1:14" ht="24" customHeight="1">
      <c r="A87" s="80" t="s">
        <v>603</v>
      </c>
      <c r="B87" s="79"/>
      <c r="C87" s="78" t="s">
        <v>504</v>
      </c>
      <c r="D87" s="78" t="s">
        <v>602</v>
      </c>
      <c r="E87" s="78" t="s">
        <v>499</v>
      </c>
      <c r="F87" s="77">
        <v>762</v>
      </c>
      <c r="G87" s="76">
        <v>1200</v>
      </c>
      <c r="H87" s="76">
        <v>1150</v>
      </c>
      <c r="I87" s="75"/>
      <c r="J87" s="74">
        <v>0</v>
      </c>
      <c r="K87" s="73">
        <v>45555</v>
      </c>
      <c r="L87" s="73">
        <v>46265</v>
      </c>
      <c r="M87" s="72">
        <v>45555</v>
      </c>
      <c r="N87" s="71"/>
    </row>
    <row r="88" spans="1:14" ht="25" customHeight="1">
      <c r="A88" s="70" t="s">
        <v>601</v>
      </c>
      <c r="B88" s="69"/>
      <c r="C88" s="68" t="s">
        <v>504</v>
      </c>
      <c r="D88" s="68" t="s">
        <v>600</v>
      </c>
      <c r="E88" s="68" t="s">
        <v>499</v>
      </c>
      <c r="F88" s="67">
        <v>762</v>
      </c>
      <c r="G88" s="66">
        <v>1200</v>
      </c>
      <c r="H88" s="66">
        <v>1100</v>
      </c>
      <c r="I88" s="64">
        <v>20</v>
      </c>
      <c r="J88" s="64">
        <v>500</v>
      </c>
      <c r="K88" s="63">
        <v>45931</v>
      </c>
      <c r="L88" s="63">
        <v>46295</v>
      </c>
      <c r="M88" s="62">
        <v>45931</v>
      </c>
      <c r="N88" s="61"/>
    </row>
    <row r="89" spans="1:14" ht="25" customHeight="1">
      <c r="A89" s="80" t="s">
        <v>599</v>
      </c>
      <c r="B89" s="79"/>
      <c r="C89" s="78" t="s">
        <v>504</v>
      </c>
      <c r="D89" s="78" t="s">
        <v>598</v>
      </c>
      <c r="E89" s="78" t="s">
        <v>499</v>
      </c>
      <c r="F89" s="77">
        <v>762</v>
      </c>
      <c r="G89" s="76">
        <v>1200</v>
      </c>
      <c r="H89" s="76">
        <v>1200</v>
      </c>
      <c r="I89" s="75"/>
      <c r="J89" s="74">
        <v>500</v>
      </c>
      <c r="K89" s="73">
        <v>45231</v>
      </c>
      <c r="L89" s="73">
        <v>46326</v>
      </c>
      <c r="M89" s="72">
        <v>45231</v>
      </c>
      <c r="N89" s="71"/>
    </row>
    <row r="90" spans="1:14" ht="25" customHeight="1">
      <c r="A90" s="70" t="s">
        <v>597</v>
      </c>
      <c r="B90" s="69"/>
      <c r="C90" s="68" t="s">
        <v>504</v>
      </c>
      <c r="D90" s="68" t="s">
        <v>596</v>
      </c>
      <c r="E90" s="68" t="s">
        <v>499</v>
      </c>
      <c r="F90" s="67">
        <v>762</v>
      </c>
      <c r="G90" s="66">
        <v>1200</v>
      </c>
      <c r="H90" s="66">
        <v>1100</v>
      </c>
      <c r="I90" s="81"/>
      <c r="J90" s="64">
        <v>500</v>
      </c>
      <c r="K90" s="63">
        <v>46056</v>
      </c>
      <c r="L90" s="63">
        <v>46418</v>
      </c>
      <c r="M90" s="62">
        <v>46056</v>
      </c>
      <c r="N90" s="61"/>
    </row>
    <row r="91" spans="1:14" ht="24" customHeight="1">
      <c r="A91" s="80" t="s">
        <v>595</v>
      </c>
      <c r="B91" s="79"/>
      <c r="C91" s="78" t="s">
        <v>504</v>
      </c>
      <c r="D91" s="78" t="s">
        <v>594</v>
      </c>
      <c r="E91" s="78" t="s">
        <v>499</v>
      </c>
      <c r="F91" s="77">
        <v>762</v>
      </c>
      <c r="G91" s="76">
        <v>1200</v>
      </c>
      <c r="H91" s="76">
        <v>1200</v>
      </c>
      <c r="I91" s="75"/>
      <c r="J91" s="74">
        <v>500</v>
      </c>
      <c r="K91" s="73">
        <v>45252</v>
      </c>
      <c r="L91" s="73">
        <v>46326</v>
      </c>
      <c r="M91" s="72">
        <v>45261</v>
      </c>
      <c r="N91" s="71"/>
    </row>
    <row r="92" spans="1:14" ht="25" customHeight="1">
      <c r="A92" s="70" t="s">
        <v>593</v>
      </c>
      <c r="B92" s="69"/>
      <c r="C92" s="68" t="s">
        <v>504</v>
      </c>
      <c r="D92" s="68" t="s">
        <v>592</v>
      </c>
      <c r="E92" s="68" t="s">
        <v>499</v>
      </c>
      <c r="F92" s="67">
        <v>762</v>
      </c>
      <c r="G92" s="66">
        <v>1200</v>
      </c>
      <c r="H92" s="66">
        <v>1050</v>
      </c>
      <c r="I92" s="81"/>
      <c r="J92" s="64">
        <v>0</v>
      </c>
      <c r="K92" s="63">
        <v>45231</v>
      </c>
      <c r="L92" s="63">
        <v>46356</v>
      </c>
      <c r="M92" s="62">
        <v>44440</v>
      </c>
      <c r="N92" s="61"/>
    </row>
    <row r="93" spans="1:14" ht="25" customHeight="1">
      <c r="A93" s="80" t="s">
        <v>591</v>
      </c>
      <c r="B93" s="79"/>
      <c r="C93" s="78" t="s">
        <v>504</v>
      </c>
      <c r="D93" s="78" t="s">
        <v>590</v>
      </c>
      <c r="E93" s="78" t="s">
        <v>499</v>
      </c>
      <c r="F93" s="77">
        <v>762</v>
      </c>
      <c r="G93" s="76">
        <v>1200</v>
      </c>
      <c r="H93" s="76">
        <v>1150</v>
      </c>
      <c r="I93" s="75"/>
      <c r="J93" s="74">
        <v>0</v>
      </c>
      <c r="K93" s="73">
        <v>45697</v>
      </c>
      <c r="L93" s="73">
        <v>46426</v>
      </c>
      <c r="M93" s="72">
        <v>45697</v>
      </c>
      <c r="N93" s="71"/>
    </row>
    <row r="94" spans="1:14" ht="25" customHeight="1">
      <c r="A94" s="70" t="s">
        <v>589</v>
      </c>
      <c r="B94" s="69"/>
      <c r="C94" s="68" t="s">
        <v>504</v>
      </c>
      <c r="D94" s="68" t="s">
        <v>588</v>
      </c>
      <c r="E94" s="68" t="s">
        <v>499</v>
      </c>
      <c r="F94" s="67">
        <v>762</v>
      </c>
      <c r="G94" s="66">
        <v>1200</v>
      </c>
      <c r="H94" s="66">
        <v>1200</v>
      </c>
      <c r="I94" s="81"/>
      <c r="J94" s="64">
        <v>500</v>
      </c>
      <c r="K94" s="63">
        <v>45461</v>
      </c>
      <c r="L94" s="63">
        <v>46568</v>
      </c>
      <c r="M94" s="62">
        <v>45461</v>
      </c>
      <c r="N94" s="61"/>
    </row>
    <row r="95" spans="1:14" ht="24" customHeight="1">
      <c r="A95" s="80" t="s">
        <v>587</v>
      </c>
      <c r="B95" s="79"/>
      <c r="C95" s="78" t="s">
        <v>504</v>
      </c>
      <c r="D95" s="75"/>
      <c r="E95" s="78" t="s">
        <v>510</v>
      </c>
      <c r="F95" s="77">
        <v>762</v>
      </c>
      <c r="G95" s="76">
        <v>1200</v>
      </c>
      <c r="H95" s="75"/>
      <c r="I95" s="74">
        <v>0</v>
      </c>
      <c r="J95" s="74">
        <v>0</v>
      </c>
      <c r="K95" s="75"/>
      <c r="L95" s="75"/>
      <c r="M95" s="85"/>
      <c r="N95" s="84"/>
    </row>
    <row r="96" spans="1:14" ht="25" customHeight="1">
      <c r="A96" s="70" t="s">
        <v>586</v>
      </c>
      <c r="B96" s="69"/>
      <c r="C96" s="68" t="s">
        <v>504</v>
      </c>
      <c r="D96" s="68" t="s">
        <v>585</v>
      </c>
      <c r="E96" s="68" t="s">
        <v>499</v>
      </c>
      <c r="F96" s="67">
        <v>762</v>
      </c>
      <c r="G96" s="66">
        <v>1200</v>
      </c>
      <c r="H96" s="66">
        <v>1100</v>
      </c>
      <c r="I96" s="81"/>
      <c r="J96" s="64">
        <v>500</v>
      </c>
      <c r="K96" s="63">
        <v>46055</v>
      </c>
      <c r="L96" s="63">
        <v>46418</v>
      </c>
      <c r="M96" s="62">
        <v>46055</v>
      </c>
      <c r="N96" s="61"/>
    </row>
    <row r="97" spans="1:14" ht="25" customHeight="1">
      <c r="A97" s="80" t="s">
        <v>584</v>
      </c>
      <c r="B97" s="79"/>
      <c r="C97" s="78" t="s">
        <v>504</v>
      </c>
      <c r="D97" s="78" t="s">
        <v>583</v>
      </c>
      <c r="E97" s="78" t="s">
        <v>499</v>
      </c>
      <c r="F97" s="77">
        <v>762</v>
      </c>
      <c r="G97" s="76">
        <v>1200</v>
      </c>
      <c r="H97" s="76">
        <v>1100</v>
      </c>
      <c r="I97" s="75"/>
      <c r="J97" s="74">
        <v>500</v>
      </c>
      <c r="K97" s="73">
        <v>46072</v>
      </c>
      <c r="L97" s="73">
        <v>46418</v>
      </c>
      <c r="M97" s="72">
        <v>46072</v>
      </c>
      <c r="N97" s="71"/>
    </row>
    <row r="98" spans="1:14" ht="25" customHeight="1">
      <c r="A98" s="70" t="s">
        <v>582</v>
      </c>
      <c r="B98" s="69"/>
      <c r="C98" s="68" t="s">
        <v>504</v>
      </c>
      <c r="D98" s="65" t="s">
        <v>581</v>
      </c>
      <c r="E98" s="68" t="s">
        <v>499</v>
      </c>
      <c r="F98" s="67">
        <v>762</v>
      </c>
      <c r="G98" s="66">
        <v>1200</v>
      </c>
      <c r="H98" s="66">
        <v>1100</v>
      </c>
      <c r="I98" s="81"/>
      <c r="J98" s="64">
        <v>500</v>
      </c>
      <c r="K98" s="63">
        <v>45261</v>
      </c>
      <c r="L98" s="63">
        <v>46356</v>
      </c>
      <c r="M98" s="62">
        <v>45231</v>
      </c>
      <c r="N98" s="61"/>
    </row>
    <row r="99" spans="1:14" ht="24" customHeight="1">
      <c r="A99" s="80" t="s">
        <v>580</v>
      </c>
      <c r="B99" s="79"/>
      <c r="C99" s="78" t="s">
        <v>504</v>
      </c>
      <c r="D99" s="78" t="s">
        <v>579</v>
      </c>
      <c r="E99" s="78" t="s">
        <v>499</v>
      </c>
      <c r="F99" s="77">
        <v>762</v>
      </c>
      <c r="G99" s="76">
        <v>1200</v>
      </c>
      <c r="H99" s="76">
        <v>1105</v>
      </c>
      <c r="I99" s="75"/>
      <c r="J99" s="74">
        <v>0</v>
      </c>
      <c r="K99" s="73">
        <v>45658</v>
      </c>
      <c r="L99" s="73">
        <v>46387</v>
      </c>
      <c r="M99" s="72">
        <v>44569</v>
      </c>
      <c r="N99" s="71"/>
    </row>
    <row r="100" spans="1:14" ht="25" customHeight="1">
      <c r="A100" s="70" t="s">
        <v>578</v>
      </c>
      <c r="B100" s="69"/>
      <c r="C100" s="68" t="s">
        <v>504</v>
      </c>
      <c r="D100" s="68" t="s">
        <v>577</v>
      </c>
      <c r="E100" s="68" t="s">
        <v>499</v>
      </c>
      <c r="F100" s="67">
        <v>762</v>
      </c>
      <c r="G100" s="66">
        <v>1200</v>
      </c>
      <c r="H100" s="66">
        <v>1050</v>
      </c>
      <c r="I100" s="81"/>
      <c r="J100" s="64">
        <v>500</v>
      </c>
      <c r="K100" s="63">
        <v>45722</v>
      </c>
      <c r="L100" s="63">
        <v>46451</v>
      </c>
      <c r="M100" s="62">
        <v>45722</v>
      </c>
      <c r="N100" s="61"/>
    </row>
    <row r="101" spans="1:14" ht="15" customHeight="1">
      <c r="A101" s="80" t="s">
        <v>576</v>
      </c>
      <c r="B101" s="79"/>
      <c r="C101" s="78" t="s">
        <v>504</v>
      </c>
      <c r="D101" s="88"/>
      <c r="E101" s="78" t="s">
        <v>572</v>
      </c>
      <c r="F101" s="77">
        <v>762</v>
      </c>
      <c r="G101" s="76">
        <v>1200</v>
      </c>
      <c r="H101" s="88"/>
      <c r="I101" s="74">
        <v>0</v>
      </c>
      <c r="J101" s="74">
        <v>0</v>
      </c>
      <c r="K101" s="88"/>
      <c r="L101" s="88"/>
      <c r="M101" s="87"/>
      <c r="N101" s="86"/>
    </row>
    <row r="102" spans="1:14" ht="25" customHeight="1">
      <c r="A102" s="70" t="s">
        <v>575</v>
      </c>
      <c r="B102" s="69"/>
      <c r="C102" s="68" t="s">
        <v>504</v>
      </c>
      <c r="D102" s="68" t="s">
        <v>574</v>
      </c>
      <c r="E102" s="68" t="s">
        <v>499</v>
      </c>
      <c r="F102" s="67">
        <v>762</v>
      </c>
      <c r="G102" s="66">
        <v>1200</v>
      </c>
      <c r="H102" s="66">
        <v>1125</v>
      </c>
      <c r="I102" s="81"/>
      <c r="J102" s="64">
        <v>500</v>
      </c>
      <c r="K102" s="63">
        <v>45748</v>
      </c>
      <c r="L102" s="63">
        <v>46477</v>
      </c>
      <c r="M102" s="62">
        <v>45748</v>
      </c>
      <c r="N102" s="61"/>
    </row>
    <row r="103" spans="1:14" ht="25" customHeight="1">
      <c r="A103" s="80" t="s">
        <v>573</v>
      </c>
      <c r="B103" s="79"/>
      <c r="C103" s="78" t="s">
        <v>504</v>
      </c>
      <c r="D103" s="75"/>
      <c r="E103" s="78" t="s">
        <v>572</v>
      </c>
      <c r="F103" s="77">
        <v>762</v>
      </c>
      <c r="G103" s="76">
        <v>1200</v>
      </c>
      <c r="H103" s="75"/>
      <c r="I103" s="74">
        <v>0</v>
      </c>
      <c r="J103" s="74">
        <v>0</v>
      </c>
      <c r="K103" s="75"/>
      <c r="L103" s="75"/>
      <c r="M103" s="85"/>
      <c r="N103" s="84"/>
    </row>
    <row r="104" spans="1:14" ht="24" customHeight="1">
      <c r="A104" s="70" t="s">
        <v>571</v>
      </c>
      <c r="B104" s="69"/>
      <c r="C104" s="68" t="s">
        <v>504</v>
      </c>
      <c r="D104" s="68" t="s">
        <v>570</v>
      </c>
      <c r="E104" s="68" t="s">
        <v>499</v>
      </c>
      <c r="F104" s="67">
        <v>762</v>
      </c>
      <c r="G104" s="66">
        <v>1200</v>
      </c>
      <c r="H104" s="66">
        <v>1100</v>
      </c>
      <c r="I104" s="81"/>
      <c r="J104" s="64">
        <v>500</v>
      </c>
      <c r="K104" s="63">
        <v>46087</v>
      </c>
      <c r="L104" s="63">
        <v>46446</v>
      </c>
      <c r="M104" s="62">
        <v>46087</v>
      </c>
      <c r="N104" s="61"/>
    </row>
    <row r="105" spans="1:14" ht="25" customHeight="1">
      <c r="A105" s="80" t="s">
        <v>569</v>
      </c>
      <c r="B105" s="79"/>
      <c r="C105" s="78" t="s">
        <v>504</v>
      </c>
      <c r="D105" s="78" t="s">
        <v>568</v>
      </c>
      <c r="E105" s="78" t="s">
        <v>499</v>
      </c>
      <c r="F105" s="77">
        <v>762</v>
      </c>
      <c r="G105" s="76">
        <v>1200</v>
      </c>
      <c r="H105" s="76">
        <v>1100</v>
      </c>
      <c r="I105" s="75"/>
      <c r="J105" s="74">
        <v>500</v>
      </c>
      <c r="K105" s="73">
        <v>46143</v>
      </c>
      <c r="L105" s="73">
        <v>46507</v>
      </c>
      <c r="M105" s="72">
        <v>46143</v>
      </c>
      <c r="N105" s="71"/>
    </row>
    <row r="106" spans="1:14" ht="25" customHeight="1">
      <c r="A106" s="70" t="s">
        <v>567</v>
      </c>
      <c r="B106" s="69"/>
      <c r="C106" s="68" t="s">
        <v>501</v>
      </c>
      <c r="D106" s="68" t="s">
        <v>566</v>
      </c>
      <c r="E106" s="68" t="s">
        <v>499</v>
      </c>
      <c r="F106" s="67">
        <v>651</v>
      </c>
      <c r="G106" s="66">
        <v>1100</v>
      </c>
      <c r="H106" s="66">
        <v>1050</v>
      </c>
      <c r="I106" s="81"/>
      <c r="J106" s="64">
        <v>500</v>
      </c>
      <c r="K106" s="63">
        <v>46146</v>
      </c>
      <c r="L106" s="63">
        <v>46510</v>
      </c>
      <c r="M106" s="62">
        <v>46146</v>
      </c>
      <c r="N106" s="61"/>
    </row>
    <row r="107" spans="1:14" ht="25" customHeight="1">
      <c r="A107" s="80" t="s">
        <v>565</v>
      </c>
      <c r="B107" s="79"/>
      <c r="C107" s="78" t="s">
        <v>504</v>
      </c>
      <c r="D107" s="78" t="s">
        <v>564</v>
      </c>
      <c r="E107" s="78" t="s">
        <v>499</v>
      </c>
      <c r="F107" s="77">
        <v>762</v>
      </c>
      <c r="G107" s="76">
        <v>1200</v>
      </c>
      <c r="H107" s="76">
        <v>1100</v>
      </c>
      <c r="I107" s="74">
        <v>25</v>
      </c>
      <c r="J107" s="74">
        <v>0</v>
      </c>
      <c r="K107" s="73">
        <v>45323</v>
      </c>
      <c r="L107" s="73">
        <v>46418</v>
      </c>
      <c r="M107" s="72">
        <v>44599</v>
      </c>
      <c r="N107" s="71"/>
    </row>
    <row r="108" spans="1:14" ht="24" customHeight="1">
      <c r="A108" s="70" t="s">
        <v>563</v>
      </c>
      <c r="B108" s="69"/>
      <c r="C108" s="68" t="s">
        <v>504</v>
      </c>
      <c r="D108" s="68" t="s">
        <v>562</v>
      </c>
      <c r="E108" s="68" t="s">
        <v>499</v>
      </c>
      <c r="F108" s="67">
        <v>762</v>
      </c>
      <c r="G108" s="66">
        <v>1200</v>
      </c>
      <c r="H108" s="66">
        <v>1150</v>
      </c>
      <c r="I108" s="81"/>
      <c r="J108" s="64">
        <v>300</v>
      </c>
      <c r="K108" s="63">
        <v>45323</v>
      </c>
      <c r="L108" s="63">
        <v>46418</v>
      </c>
      <c r="M108" s="62">
        <v>44882</v>
      </c>
      <c r="N108" s="61"/>
    </row>
    <row r="109" spans="1:14" ht="25" customHeight="1">
      <c r="A109" s="80" t="s">
        <v>561</v>
      </c>
      <c r="B109" s="79"/>
      <c r="C109" s="78" t="s">
        <v>501</v>
      </c>
      <c r="D109" s="78" t="s">
        <v>560</v>
      </c>
      <c r="E109" s="78" t="s">
        <v>499</v>
      </c>
      <c r="F109" s="77">
        <v>651</v>
      </c>
      <c r="G109" s="76">
        <v>1100</v>
      </c>
      <c r="H109" s="74">
        <v>0</v>
      </c>
      <c r="I109" s="75"/>
      <c r="J109" s="74">
        <v>0</v>
      </c>
      <c r="K109" s="73">
        <v>46190</v>
      </c>
      <c r="L109" s="73">
        <v>46538</v>
      </c>
      <c r="M109" s="72">
        <v>46190</v>
      </c>
      <c r="N109" s="71"/>
    </row>
    <row r="110" spans="1:14" ht="25" customHeight="1">
      <c r="A110" s="70" t="s">
        <v>559</v>
      </c>
      <c r="B110" s="69"/>
      <c r="C110" s="68" t="s">
        <v>504</v>
      </c>
      <c r="D110" s="68" t="s">
        <v>558</v>
      </c>
      <c r="E110" s="68" t="s">
        <v>499</v>
      </c>
      <c r="F110" s="67">
        <v>762</v>
      </c>
      <c r="G110" s="66">
        <v>1200</v>
      </c>
      <c r="H110" s="66">
        <v>1150</v>
      </c>
      <c r="I110" s="81"/>
      <c r="J110" s="64">
        <v>300</v>
      </c>
      <c r="K110" s="63">
        <v>45231</v>
      </c>
      <c r="L110" s="63">
        <v>46356</v>
      </c>
      <c r="M110" s="62">
        <v>44875</v>
      </c>
      <c r="N110" s="61"/>
    </row>
    <row r="111" spans="1:14" ht="25" customHeight="1">
      <c r="A111" s="80" t="s">
        <v>557</v>
      </c>
      <c r="B111" s="79"/>
      <c r="C111" s="78" t="s">
        <v>504</v>
      </c>
      <c r="D111" s="78" t="s">
        <v>556</v>
      </c>
      <c r="E111" s="78" t="s">
        <v>499</v>
      </c>
      <c r="F111" s="77">
        <v>762</v>
      </c>
      <c r="G111" s="76">
        <v>1200</v>
      </c>
      <c r="H111" s="76">
        <v>1030</v>
      </c>
      <c r="I111" s="75"/>
      <c r="J111" s="74">
        <v>0</v>
      </c>
      <c r="K111" s="73">
        <v>45323</v>
      </c>
      <c r="L111" s="73">
        <v>46418</v>
      </c>
      <c r="M111" s="72">
        <v>43435</v>
      </c>
      <c r="N111" s="71"/>
    </row>
    <row r="112" spans="1:14" ht="24" customHeight="1">
      <c r="A112" s="70" t="s">
        <v>555</v>
      </c>
      <c r="B112" s="69"/>
      <c r="C112" s="68" t="s">
        <v>504</v>
      </c>
      <c r="D112" s="68" t="s">
        <v>554</v>
      </c>
      <c r="E112" s="68" t="s">
        <v>499</v>
      </c>
      <c r="F112" s="67">
        <v>762</v>
      </c>
      <c r="G112" s="66">
        <v>1200</v>
      </c>
      <c r="H112" s="66">
        <v>1125</v>
      </c>
      <c r="I112" s="81"/>
      <c r="J112" s="64">
        <v>500</v>
      </c>
      <c r="K112" s="63">
        <v>45618</v>
      </c>
      <c r="L112" s="63">
        <v>46326</v>
      </c>
      <c r="M112" s="62">
        <v>45618</v>
      </c>
      <c r="N112" s="61"/>
    </row>
    <row r="113" spans="1:14" ht="25" customHeight="1">
      <c r="A113" s="80" t="s">
        <v>553</v>
      </c>
      <c r="B113" s="79"/>
      <c r="C113" s="78" t="s">
        <v>504</v>
      </c>
      <c r="D113" s="78" t="s">
        <v>552</v>
      </c>
      <c r="E113" s="78" t="s">
        <v>499</v>
      </c>
      <c r="F113" s="77">
        <v>762</v>
      </c>
      <c r="G113" s="76">
        <v>1200</v>
      </c>
      <c r="H113" s="76">
        <v>1150</v>
      </c>
      <c r="I113" s="75"/>
      <c r="J113" s="74">
        <v>500</v>
      </c>
      <c r="K113" s="73">
        <v>45721</v>
      </c>
      <c r="L113" s="73">
        <v>46450</v>
      </c>
      <c r="M113" s="72">
        <v>45721</v>
      </c>
      <c r="N113" s="71"/>
    </row>
    <row r="114" spans="1:14" ht="25" customHeight="1">
      <c r="A114" s="70" t="s">
        <v>551</v>
      </c>
      <c r="B114" s="69"/>
      <c r="C114" s="68" t="s">
        <v>504</v>
      </c>
      <c r="D114" s="68" t="s">
        <v>550</v>
      </c>
      <c r="E114" s="68" t="s">
        <v>499</v>
      </c>
      <c r="F114" s="67">
        <v>762</v>
      </c>
      <c r="G114" s="66">
        <v>1200</v>
      </c>
      <c r="H114" s="66">
        <v>1100</v>
      </c>
      <c r="I114" s="81"/>
      <c r="J114" s="64">
        <v>250</v>
      </c>
      <c r="K114" s="63">
        <v>45962</v>
      </c>
      <c r="L114" s="63">
        <v>46325</v>
      </c>
      <c r="M114" s="62">
        <v>45962</v>
      </c>
      <c r="N114" s="61"/>
    </row>
    <row r="115" spans="1:14" ht="25" customHeight="1">
      <c r="A115" s="80" t="s">
        <v>549</v>
      </c>
      <c r="B115" s="79"/>
      <c r="C115" s="78" t="s">
        <v>501</v>
      </c>
      <c r="D115" s="78" t="s">
        <v>548</v>
      </c>
      <c r="E115" s="78" t="s">
        <v>499</v>
      </c>
      <c r="F115" s="77">
        <v>651</v>
      </c>
      <c r="G115" s="76">
        <v>1100</v>
      </c>
      <c r="H115" s="76">
        <v>1075</v>
      </c>
      <c r="I115" s="75"/>
      <c r="J115" s="74">
        <v>300</v>
      </c>
      <c r="K115" s="73">
        <v>45292</v>
      </c>
      <c r="L115" s="73">
        <v>46387</v>
      </c>
      <c r="M115" s="72">
        <v>44825</v>
      </c>
      <c r="N115" s="71"/>
    </row>
    <row r="116" spans="1:14" ht="24" customHeight="1">
      <c r="A116" s="70" t="s">
        <v>547</v>
      </c>
      <c r="B116" s="69"/>
      <c r="C116" s="68" t="s">
        <v>504</v>
      </c>
      <c r="D116" s="68" t="s">
        <v>546</v>
      </c>
      <c r="E116" s="68" t="s">
        <v>499</v>
      </c>
      <c r="F116" s="67">
        <v>762</v>
      </c>
      <c r="G116" s="66">
        <v>1200</v>
      </c>
      <c r="H116" s="66">
        <v>1150</v>
      </c>
      <c r="I116" s="64">
        <v>25</v>
      </c>
      <c r="J116" s="64">
        <v>500</v>
      </c>
      <c r="K116" s="63">
        <v>45528</v>
      </c>
      <c r="L116" s="63">
        <v>46257</v>
      </c>
      <c r="M116" s="62">
        <v>45528</v>
      </c>
      <c r="N116" s="61"/>
    </row>
    <row r="117" spans="1:14" ht="25" customHeight="1">
      <c r="A117" s="80" t="s">
        <v>545</v>
      </c>
      <c r="B117" s="79"/>
      <c r="C117" s="78" t="s">
        <v>501</v>
      </c>
      <c r="D117" s="78" t="s">
        <v>544</v>
      </c>
      <c r="E117" s="78" t="s">
        <v>499</v>
      </c>
      <c r="F117" s="77">
        <v>651</v>
      </c>
      <c r="G117" s="76">
        <v>1100</v>
      </c>
      <c r="H117" s="76">
        <v>1050</v>
      </c>
      <c r="I117" s="75"/>
      <c r="J117" s="74">
        <v>0</v>
      </c>
      <c r="K117" s="73">
        <v>45139</v>
      </c>
      <c r="L117" s="73">
        <v>46568</v>
      </c>
      <c r="M117" s="72">
        <v>43633</v>
      </c>
      <c r="N117" s="71"/>
    </row>
    <row r="118" spans="1:14" ht="25" customHeight="1">
      <c r="A118" s="70" t="s">
        <v>543</v>
      </c>
      <c r="B118" s="69"/>
      <c r="C118" s="68" t="s">
        <v>504</v>
      </c>
      <c r="D118" s="68" t="s">
        <v>542</v>
      </c>
      <c r="E118" s="68" t="s">
        <v>499</v>
      </c>
      <c r="F118" s="67">
        <v>762</v>
      </c>
      <c r="G118" s="66">
        <v>1200</v>
      </c>
      <c r="H118" s="66">
        <v>1150</v>
      </c>
      <c r="I118" s="81"/>
      <c r="J118" s="64">
        <v>500</v>
      </c>
      <c r="K118" s="63">
        <v>45498</v>
      </c>
      <c r="L118" s="63">
        <v>46227</v>
      </c>
      <c r="M118" s="62">
        <v>45498</v>
      </c>
      <c r="N118" s="61"/>
    </row>
    <row r="119" spans="1:14" ht="25" customHeight="1">
      <c r="A119" s="80" t="s">
        <v>541</v>
      </c>
      <c r="B119" s="79"/>
      <c r="C119" s="78" t="s">
        <v>501</v>
      </c>
      <c r="D119" s="78" t="s">
        <v>540</v>
      </c>
      <c r="E119" s="78" t="s">
        <v>499</v>
      </c>
      <c r="F119" s="77">
        <v>651</v>
      </c>
      <c r="G119" s="76">
        <v>1100</v>
      </c>
      <c r="H119" s="76">
        <v>1025</v>
      </c>
      <c r="I119" s="74">
        <v>20</v>
      </c>
      <c r="J119" s="74">
        <v>500</v>
      </c>
      <c r="K119" s="73">
        <v>45812</v>
      </c>
      <c r="L119" s="73">
        <v>46568</v>
      </c>
      <c r="M119" s="72">
        <v>45812</v>
      </c>
      <c r="N119" s="71"/>
    </row>
    <row r="120" spans="1:14" ht="24" customHeight="1">
      <c r="A120" s="70" t="s">
        <v>539</v>
      </c>
      <c r="B120" s="69"/>
      <c r="C120" s="68" t="s">
        <v>504</v>
      </c>
      <c r="D120" s="68" t="s">
        <v>538</v>
      </c>
      <c r="E120" s="68" t="s">
        <v>499</v>
      </c>
      <c r="F120" s="67">
        <v>762</v>
      </c>
      <c r="G120" s="66">
        <v>1200</v>
      </c>
      <c r="H120" s="66">
        <v>1200</v>
      </c>
      <c r="I120" s="64">
        <v>50</v>
      </c>
      <c r="J120" s="64">
        <v>500</v>
      </c>
      <c r="K120" s="63">
        <v>45383</v>
      </c>
      <c r="L120" s="63">
        <v>46477</v>
      </c>
      <c r="M120" s="62">
        <v>45383</v>
      </c>
      <c r="N120" s="61"/>
    </row>
    <row r="121" spans="1:14" ht="25" customHeight="1">
      <c r="A121" s="80" t="s">
        <v>537</v>
      </c>
      <c r="B121" s="79"/>
      <c r="C121" s="78" t="s">
        <v>501</v>
      </c>
      <c r="D121" s="78" t="s">
        <v>536</v>
      </c>
      <c r="E121" s="78" t="s">
        <v>499</v>
      </c>
      <c r="F121" s="77">
        <v>651</v>
      </c>
      <c r="G121" s="76">
        <v>1100</v>
      </c>
      <c r="H121" s="76">
        <v>1045</v>
      </c>
      <c r="I121" s="74">
        <v>15</v>
      </c>
      <c r="J121" s="74">
        <v>0</v>
      </c>
      <c r="K121" s="73">
        <v>45017</v>
      </c>
      <c r="L121" s="73">
        <v>46477</v>
      </c>
      <c r="M121" s="72">
        <v>44305</v>
      </c>
      <c r="N121" s="71"/>
    </row>
    <row r="122" spans="1:14" ht="25" customHeight="1">
      <c r="A122" s="70" t="s">
        <v>535</v>
      </c>
      <c r="B122" s="69"/>
      <c r="C122" s="68" t="s">
        <v>504</v>
      </c>
      <c r="D122" s="68" t="s">
        <v>534</v>
      </c>
      <c r="E122" s="68" t="s">
        <v>499</v>
      </c>
      <c r="F122" s="67">
        <v>762</v>
      </c>
      <c r="G122" s="66">
        <v>1200</v>
      </c>
      <c r="H122" s="66">
        <v>1200</v>
      </c>
      <c r="I122" s="81"/>
      <c r="J122" s="64">
        <v>500</v>
      </c>
      <c r="K122" s="63">
        <v>45920</v>
      </c>
      <c r="L122" s="63">
        <v>46284</v>
      </c>
      <c r="M122" s="62">
        <v>45920</v>
      </c>
      <c r="N122" s="61"/>
    </row>
    <row r="123" spans="1:14" ht="25" customHeight="1">
      <c r="A123" s="80" t="s">
        <v>533</v>
      </c>
      <c r="B123" s="79"/>
      <c r="C123" s="78" t="s">
        <v>501</v>
      </c>
      <c r="D123" s="78" t="s">
        <v>532</v>
      </c>
      <c r="E123" s="78" t="s">
        <v>499</v>
      </c>
      <c r="F123" s="77">
        <v>651</v>
      </c>
      <c r="G123" s="76">
        <v>1100</v>
      </c>
      <c r="H123" s="76">
        <v>1050</v>
      </c>
      <c r="I123" s="75"/>
      <c r="J123" s="74">
        <v>0</v>
      </c>
      <c r="K123" s="73">
        <v>46023</v>
      </c>
      <c r="L123" s="73">
        <v>46387</v>
      </c>
      <c r="M123" s="72">
        <v>46023</v>
      </c>
      <c r="N123" s="71"/>
    </row>
    <row r="124" spans="1:14" ht="24" customHeight="1">
      <c r="A124" s="70" t="s">
        <v>531</v>
      </c>
      <c r="B124" s="69"/>
      <c r="C124" s="68" t="s">
        <v>504</v>
      </c>
      <c r="D124" s="68" t="s">
        <v>530</v>
      </c>
      <c r="E124" s="68" t="s">
        <v>499</v>
      </c>
      <c r="F124" s="67">
        <v>762</v>
      </c>
      <c r="G124" s="66">
        <v>1200</v>
      </c>
      <c r="H124" s="66">
        <v>1100</v>
      </c>
      <c r="I124" s="81"/>
      <c r="J124" s="64">
        <v>500</v>
      </c>
      <c r="K124" s="63">
        <v>46113</v>
      </c>
      <c r="L124" s="63">
        <v>46477</v>
      </c>
      <c r="M124" s="62">
        <v>45751</v>
      </c>
      <c r="N124" s="61"/>
    </row>
    <row r="125" spans="1:14" ht="25" customHeight="1">
      <c r="A125" s="80" t="s">
        <v>529</v>
      </c>
      <c r="B125" s="79"/>
      <c r="C125" s="78" t="s">
        <v>504</v>
      </c>
      <c r="D125" s="78" t="s">
        <v>528</v>
      </c>
      <c r="E125" s="78" t="s">
        <v>499</v>
      </c>
      <c r="F125" s="77">
        <v>762</v>
      </c>
      <c r="G125" s="76">
        <v>1200</v>
      </c>
      <c r="H125" s="76">
        <v>1100</v>
      </c>
      <c r="I125" s="75"/>
      <c r="J125" s="74">
        <v>500</v>
      </c>
      <c r="K125" s="73">
        <v>46115</v>
      </c>
      <c r="L125" s="73">
        <v>46477</v>
      </c>
      <c r="M125" s="72">
        <v>46115</v>
      </c>
      <c r="N125" s="71"/>
    </row>
    <row r="126" spans="1:14" ht="25" customHeight="1">
      <c r="A126" s="70" t="s">
        <v>527</v>
      </c>
      <c r="B126" s="69"/>
      <c r="C126" s="68" t="s">
        <v>504</v>
      </c>
      <c r="D126" s="68" t="s">
        <v>526</v>
      </c>
      <c r="E126" s="68" t="s">
        <v>499</v>
      </c>
      <c r="F126" s="67">
        <v>762</v>
      </c>
      <c r="G126" s="66">
        <v>1200</v>
      </c>
      <c r="H126" s="66">
        <v>1200</v>
      </c>
      <c r="I126" s="81"/>
      <c r="J126" s="64">
        <v>500</v>
      </c>
      <c r="K126" s="63">
        <v>46174</v>
      </c>
      <c r="L126" s="63">
        <v>46538</v>
      </c>
      <c r="M126" s="62">
        <v>46174</v>
      </c>
      <c r="N126" s="61"/>
    </row>
    <row r="127" spans="1:14" ht="25" customHeight="1">
      <c r="A127" s="80" t="s">
        <v>525</v>
      </c>
      <c r="B127" s="79"/>
      <c r="C127" s="78" t="s">
        <v>504</v>
      </c>
      <c r="D127" s="78" t="s">
        <v>524</v>
      </c>
      <c r="E127" s="78" t="s">
        <v>499</v>
      </c>
      <c r="F127" s="77">
        <v>762</v>
      </c>
      <c r="G127" s="76">
        <v>1200</v>
      </c>
      <c r="H127" s="76">
        <v>1150</v>
      </c>
      <c r="I127" s="75"/>
      <c r="J127" s="74">
        <v>500</v>
      </c>
      <c r="K127" s="73">
        <v>45485</v>
      </c>
      <c r="L127" s="73">
        <v>46599</v>
      </c>
      <c r="M127" s="72">
        <v>45485</v>
      </c>
      <c r="N127" s="71"/>
    </row>
    <row r="128" spans="1:14" ht="24" customHeight="1">
      <c r="A128" s="70" t="s">
        <v>523</v>
      </c>
      <c r="B128" s="69"/>
      <c r="C128" s="68" t="s">
        <v>504</v>
      </c>
      <c r="D128" s="68" t="s">
        <v>522</v>
      </c>
      <c r="E128" s="68" t="s">
        <v>499</v>
      </c>
      <c r="F128" s="67">
        <v>762</v>
      </c>
      <c r="G128" s="66">
        <v>1200</v>
      </c>
      <c r="H128" s="66">
        <v>1100</v>
      </c>
      <c r="I128" s="81"/>
      <c r="J128" s="64">
        <v>500</v>
      </c>
      <c r="K128" s="63">
        <v>45162</v>
      </c>
      <c r="L128" s="63">
        <v>46257</v>
      </c>
      <c r="M128" s="62">
        <v>45159</v>
      </c>
      <c r="N128" s="61"/>
    </row>
    <row r="129" spans="1:14" ht="25" customHeight="1">
      <c r="A129" s="80" t="s">
        <v>521</v>
      </c>
      <c r="B129" s="79"/>
      <c r="C129" s="78" t="s">
        <v>504</v>
      </c>
      <c r="D129" s="78" t="s">
        <v>520</v>
      </c>
      <c r="E129" s="78" t="s">
        <v>499</v>
      </c>
      <c r="F129" s="77">
        <v>762</v>
      </c>
      <c r="G129" s="76">
        <v>1200</v>
      </c>
      <c r="H129" s="76">
        <v>1100</v>
      </c>
      <c r="I129" s="75"/>
      <c r="J129" s="74">
        <v>500</v>
      </c>
      <c r="K129" s="73">
        <v>46143</v>
      </c>
      <c r="L129" s="73">
        <v>46507</v>
      </c>
      <c r="M129" s="72">
        <v>46143</v>
      </c>
      <c r="N129" s="71"/>
    </row>
    <row r="130" spans="1:14" ht="25" customHeight="1">
      <c r="A130" s="70" t="s">
        <v>519</v>
      </c>
      <c r="B130" s="69"/>
      <c r="C130" s="68" t="s">
        <v>504</v>
      </c>
      <c r="D130" s="68" t="s">
        <v>518</v>
      </c>
      <c r="E130" s="68" t="s">
        <v>499</v>
      </c>
      <c r="F130" s="67">
        <v>762</v>
      </c>
      <c r="G130" s="66">
        <v>1200</v>
      </c>
      <c r="H130" s="66">
        <v>1100</v>
      </c>
      <c r="I130" s="81"/>
      <c r="J130" s="64">
        <v>500</v>
      </c>
      <c r="K130" s="63">
        <v>46093</v>
      </c>
      <c r="L130" s="63">
        <v>46446</v>
      </c>
      <c r="M130" s="62">
        <v>46093</v>
      </c>
      <c r="N130" s="61"/>
    </row>
    <row r="131" spans="1:14" ht="25" customHeight="1">
      <c r="A131" s="80" t="s">
        <v>517</v>
      </c>
      <c r="B131" s="79"/>
      <c r="C131" s="78" t="s">
        <v>504</v>
      </c>
      <c r="D131" s="78" t="s">
        <v>516</v>
      </c>
      <c r="E131" s="78" t="s">
        <v>499</v>
      </c>
      <c r="F131" s="77">
        <v>762</v>
      </c>
      <c r="G131" s="76">
        <v>1200</v>
      </c>
      <c r="H131" s="76">
        <v>1110</v>
      </c>
      <c r="I131" s="75"/>
      <c r="J131" s="74">
        <v>500</v>
      </c>
      <c r="K131" s="73">
        <v>45684</v>
      </c>
      <c r="L131" s="73">
        <v>46413</v>
      </c>
      <c r="M131" s="72">
        <v>45684</v>
      </c>
      <c r="N131" s="71"/>
    </row>
    <row r="132" spans="1:14" ht="24" customHeight="1">
      <c r="A132" s="70" t="s">
        <v>515</v>
      </c>
      <c r="B132" s="69"/>
      <c r="C132" s="68" t="s">
        <v>501</v>
      </c>
      <c r="D132" s="68" t="s">
        <v>514</v>
      </c>
      <c r="E132" s="68" t="s">
        <v>499</v>
      </c>
      <c r="F132" s="67">
        <v>651</v>
      </c>
      <c r="G132" s="66">
        <v>1100</v>
      </c>
      <c r="H132" s="66">
        <v>1075</v>
      </c>
      <c r="I132" s="81"/>
      <c r="J132" s="64">
        <v>500</v>
      </c>
      <c r="K132" s="63">
        <v>45569</v>
      </c>
      <c r="L132" s="63">
        <v>46295</v>
      </c>
      <c r="M132" s="62">
        <v>45570</v>
      </c>
      <c r="N132" s="61"/>
    </row>
    <row r="133" spans="1:14" ht="25" customHeight="1">
      <c r="A133" s="80" t="s">
        <v>513</v>
      </c>
      <c r="B133" s="79"/>
      <c r="C133" s="78" t="s">
        <v>504</v>
      </c>
      <c r="D133" s="78" t="s">
        <v>512</v>
      </c>
      <c r="E133" s="78" t="s">
        <v>499</v>
      </c>
      <c r="F133" s="77">
        <v>762</v>
      </c>
      <c r="G133" s="76">
        <v>1200</v>
      </c>
      <c r="H133" s="76">
        <v>1100</v>
      </c>
      <c r="I133" s="74">
        <v>25</v>
      </c>
      <c r="J133" s="74">
        <v>500</v>
      </c>
      <c r="K133" s="73">
        <v>45862</v>
      </c>
      <c r="L133" s="73">
        <v>46599</v>
      </c>
      <c r="M133" s="72">
        <v>45862</v>
      </c>
      <c r="N133" s="71"/>
    </row>
    <row r="134" spans="1:14" ht="25" customHeight="1">
      <c r="A134" s="70" t="s">
        <v>511</v>
      </c>
      <c r="B134" s="69"/>
      <c r="C134" s="68" t="s">
        <v>501</v>
      </c>
      <c r="D134" s="81"/>
      <c r="E134" s="68" t="s">
        <v>510</v>
      </c>
      <c r="F134" s="67">
        <v>651</v>
      </c>
      <c r="G134" s="66">
        <v>1100</v>
      </c>
      <c r="H134" s="81"/>
      <c r="I134" s="64">
        <v>0</v>
      </c>
      <c r="J134" s="64">
        <v>0</v>
      </c>
      <c r="K134" s="81"/>
      <c r="L134" s="81"/>
      <c r="M134" s="83"/>
      <c r="N134" s="82"/>
    </row>
    <row r="135" spans="1:14" ht="25" customHeight="1">
      <c r="A135" s="80" t="s">
        <v>509</v>
      </c>
      <c r="B135" s="79"/>
      <c r="C135" s="78" t="s">
        <v>504</v>
      </c>
      <c r="D135" s="78" t="s">
        <v>508</v>
      </c>
      <c r="E135" s="78" t="s">
        <v>499</v>
      </c>
      <c r="F135" s="77">
        <v>762</v>
      </c>
      <c r="G135" s="76">
        <v>1200</v>
      </c>
      <c r="H135" s="76">
        <v>1100</v>
      </c>
      <c r="I135" s="75"/>
      <c r="J135" s="74">
        <v>500</v>
      </c>
      <c r="K135" s="73">
        <v>46088</v>
      </c>
      <c r="L135" s="73">
        <v>46446</v>
      </c>
      <c r="M135" s="72">
        <v>46088</v>
      </c>
      <c r="N135" s="71"/>
    </row>
    <row r="136" spans="1:14" ht="24" customHeight="1">
      <c r="A136" s="70" t="s">
        <v>507</v>
      </c>
      <c r="B136" s="69"/>
      <c r="C136" s="68" t="s">
        <v>501</v>
      </c>
      <c r="D136" s="68" t="s">
        <v>506</v>
      </c>
      <c r="E136" s="68" t="s">
        <v>499</v>
      </c>
      <c r="F136" s="67">
        <v>651</v>
      </c>
      <c r="G136" s="66">
        <v>1100</v>
      </c>
      <c r="H136" s="66">
        <v>1050</v>
      </c>
      <c r="I136" s="81"/>
      <c r="J136" s="64">
        <v>500</v>
      </c>
      <c r="K136" s="63">
        <v>45964</v>
      </c>
      <c r="L136" s="63">
        <v>46328</v>
      </c>
      <c r="M136" s="62">
        <v>45964</v>
      </c>
      <c r="N136" s="61"/>
    </row>
    <row r="137" spans="1:14" ht="25" customHeight="1">
      <c r="A137" s="80" t="s">
        <v>505</v>
      </c>
      <c r="B137" s="79"/>
      <c r="C137" s="78" t="s">
        <v>504</v>
      </c>
      <c r="D137" s="78" t="s">
        <v>503</v>
      </c>
      <c r="E137" s="78" t="s">
        <v>499</v>
      </c>
      <c r="F137" s="77">
        <v>762</v>
      </c>
      <c r="G137" s="76">
        <v>1200</v>
      </c>
      <c r="H137" s="76">
        <v>1100</v>
      </c>
      <c r="I137" s="75"/>
      <c r="J137" s="74">
        <v>0</v>
      </c>
      <c r="K137" s="73">
        <v>45748</v>
      </c>
      <c r="L137" s="73">
        <v>46298</v>
      </c>
      <c r="M137" s="72">
        <v>45748</v>
      </c>
      <c r="N137" s="71"/>
    </row>
    <row r="138" spans="1:14" ht="35" customHeight="1">
      <c r="A138" s="70" t="s">
        <v>502</v>
      </c>
      <c r="B138" s="69"/>
      <c r="C138" s="68" t="s">
        <v>501</v>
      </c>
      <c r="D138" s="68" t="s">
        <v>500</v>
      </c>
      <c r="E138" s="68" t="s">
        <v>499</v>
      </c>
      <c r="F138" s="67">
        <v>651</v>
      </c>
      <c r="G138" s="66">
        <v>1100</v>
      </c>
      <c r="H138" s="66">
        <v>1000</v>
      </c>
      <c r="I138" s="65"/>
      <c r="J138" s="64">
        <v>500</v>
      </c>
      <c r="K138" s="63">
        <v>45170</v>
      </c>
      <c r="L138" s="63">
        <v>46326</v>
      </c>
      <c r="M138" s="62">
        <v>45154</v>
      </c>
      <c r="N138" s="61"/>
    </row>
    <row r="139" spans="1:14" ht="15" customHeight="1">
      <c r="A139" s="60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8"/>
    </row>
    <row r="140" spans="1:14" ht="34" customHeight="1">
      <c r="A140" s="57" t="s">
        <v>498</v>
      </c>
      <c r="B140" s="51"/>
      <c r="C140" s="52"/>
      <c r="D140" s="52"/>
      <c r="E140" s="56" t="s">
        <v>497</v>
      </c>
      <c r="F140" s="55">
        <v>100302</v>
      </c>
      <c r="G140" s="53">
        <v>160200</v>
      </c>
      <c r="H140" s="53">
        <v>135490</v>
      </c>
      <c r="I140" s="54">
        <v>535.5</v>
      </c>
      <c r="J140" s="53">
        <v>41529.1</v>
      </c>
      <c r="K140" s="52"/>
      <c r="L140" s="52"/>
      <c r="M140" s="51"/>
      <c r="N140" s="50"/>
    </row>
  </sheetData>
  <mergeCells count="256">
    <mergeCell ref="M135:N135"/>
    <mergeCell ref="A136:B136"/>
    <mergeCell ref="M136:N136"/>
    <mergeCell ref="A137:B137"/>
    <mergeCell ref="M137:N137"/>
    <mergeCell ref="A138:B138"/>
    <mergeCell ref="M138:N138"/>
    <mergeCell ref="A139:N139"/>
    <mergeCell ref="A140:B140"/>
    <mergeCell ref="M140:N140"/>
    <mergeCell ref="A133:B133"/>
    <mergeCell ref="M133:N133"/>
    <mergeCell ref="A134:B134"/>
    <mergeCell ref="M134:N134"/>
    <mergeCell ref="A135:B135"/>
    <mergeCell ref="A130:B130"/>
    <mergeCell ref="M130:N130"/>
    <mergeCell ref="A131:B131"/>
    <mergeCell ref="M131:N131"/>
    <mergeCell ref="A132:B132"/>
    <mergeCell ref="M132:N132"/>
    <mergeCell ref="A127:B127"/>
    <mergeCell ref="M127:N127"/>
    <mergeCell ref="A128:B128"/>
    <mergeCell ref="M128:N128"/>
    <mergeCell ref="A129:B129"/>
    <mergeCell ref="M129:N129"/>
    <mergeCell ref="A124:B124"/>
    <mergeCell ref="M124:N124"/>
    <mergeCell ref="A125:B125"/>
    <mergeCell ref="M125:N125"/>
    <mergeCell ref="A126:B126"/>
    <mergeCell ref="M126:N126"/>
    <mergeCell ref="A121:B121"/>
    <mergeCell ref="M121:N121"/>
    <mergeCell ref="A122:B122"/>
    <mergeCell ref="M122:N122"/>
    <mergeCell ref="A123:B123"/>
    <mergeCell ref="M123:N123"/>
    <mergeCell ref="A118:B118"/>
    <mergeCell ref="M118:N118"/>
    <mergeCell ref="A119:B119"/>
    <mergeCell ref="M119:N119"/>
    <mergeCell ref="A120:B120"/>
    <mergeCell ref="M120:N120"/>
    <mergeCell ref="A115:B115"/>
    <mergeCell ref="M115:N115"/>
    <mergeCell ref="A116:B116"/>
    <mergeCell ref="M116:N116"/>
    <mergeCell ref="A117:B117"/>
    <mergeCell ref="M117:N117"/>
    <mergeCell ref="A112:B112"/>
    <mergeCell ref="M112:N112"/>
    <mergeCell ref="A113:B113"/>
    <mergeCell ref="M113:N113"/>
    <mergeCell ref="A114:B114"/>
    <mergeCell ref="M114:N114"/>
    <mergeCell ref="A109:B109"/>
    <mergeCell ref="M109:N109"/>
    <mergeCell ref="A110:B110"/>
    <mergeCell ref="M110:N110"/>
    <mergeCell ref="A111:B111"/>
    <mergeCell ref="M111:N111"/>
    <mergeCell ref="A106:B106"/>
    <mergeCell ref="M106:N106"/>
    <mergeCell ref="A107:B107"/>
    <mergeCell ref="M107:N107"/>
    <mergeCell ref="A108:B108"/>
    <mergeCell ref="M108:N108"/>
    <mergeCell ref="A103:B103"/>
    <mergeCell ref="M103:N103"/>
    <mergeCell ref="A104:B104"/>
    <mergeCell ref="M104:N104"/>
    <mergeCell ref="A105:B105"/>
    <mergeCell ref="M105:N105"/>
    <mergeCell ref="A101:B101"/>
    <mergeCell ref="M101:N101"/>
    <mergeCell ref="A102:B102"/>
    <mergeCell ref="M102:N102"/>
    <mergeCell ref="A94:B94"/>
    <mergeCell ref="M94:N94"/>
    <mergeCell ref="A95:B95"/>
    <mergeCell ref="M95:N95"/>
    <mergeCell ref="A96:B96"/>
    <mergeCell ref="M96:N96"/>
    <mergeCell ref="A93:B93"/>
    <mergeCell ref="M93:N93"/>
    <mergeCell ref="A99:B99"/>
    <mergeCell ref="M99:N99"/>
    <mergeCell ref="A100:B100"/>
    <mergeCell ref="M100:N100"/>
    <mergeCell ref="A97:B97"/>
    <mergeCell ref="M97:N97"/>
    <mergeCell ref="A98:B98"/>
    <mergeCell ref="M98:N98"/>
    <mergeCell ref="A90:B90"/>
    <mergeCell ref="M90:N90"/>
    <mergeCell ref="A91:B91"/>
    <mergeCell ref="M91:N91"/>
    <mergeCell ref="A92:B92"/>
    <mergeCell ref="M92:N92"/>
    <mergeCell ref="A87:B87"/>
    <mergeCell ref="M87:N87"/>
    <mergeCell ref="A88:B88"/>
    <mergeCell ref="M88:N88"/>
    <mergeCell ref="A89:B89"/>
    <mergeCell ref="M89:N89"/>
    <mergeCell ref="A84:B84"/>
    <mergeCell ref="M84:N84"/>
    <mergeCell ref="A85:B85"/>
    <mergeCell ref="M85:N85"/>
    <mergeCell ref="A86:B86"/>
    <mergeCell ref="M86:N86"/>
    <mergeCell ref="A81:B81"/>
    <mergeCell ref="M81:N81"/>
    <mergeCell ref="A82:B82"/>
    <mergeCell ref="M82:N82"/>
    <mergeCell ref="A83:B83"/>
    <mergeCell ref="M83:N83"/>
    <mergeCell ref="A78:B78"/>
    <mergeCell ref="M78:N78"/>
    <mergeCell ref="A79:B79"/>
    <mergeCell ref="M79:N79"/>
    <mergeCell ref="A80:B80"/>
    <mergeCell ref="M80:N80"/>
    <mergeCell ref="A75:B75"/>
    <mergeCell ref="M75:N75"/>
    <mergeCell ref="A76:B76"/>
    <mergeCell ref="M76:N76"/>
    <mergeCell ref="A77:B77"/>
    <mergeCell ref="M77:N77"/>
    <mergeCell ref="A72:B72"/>
    <mergeCell ref="M72:N72"/>
    <mergeCell ref="A73:B73"/>
    <mergeCell ref="M73:N73"/>
    <mergeCell ref="A74:B74"/>
    <mergeCell ref="M74:N74"/>
    <mergeCell ref="A69:B69"/>
    <mergeCell ref="M69:N69"/>
    <mergeCell ref="A70:B70"/>
    <mergeCell ref="M70:N70"/>
    <mergeCell ref="A71:B71"/>
    <mergeCell ref="M71:N71"/>
    <mergeCell ref="A66:B66"/>
    <mergeCell ref="M66:N66"/>
    <mergeCell ref="A67:B67"/>
    <mergeCell ref="M67:N67"/>
    <mergeCell ref="A68:B68"/>
    <mergeCell ref="M68:N68"/>
    <mergeCell ref="A59:B59"/>
    <mergeCell ref="M59:N59"/>
    <mergeCell ref="A64:B64"/>
    <mergeCell ref="M64:N64"/>
    <mergeCell ref="A65:B65"/>
    <mergeCell ref="M65:N65"/>
    <mergeCell ref="A63:B63"/>
    <mergeCell ref="M63:N63"/>
    <mergeCell ref="A55:B55"/>
    <mergeCell ref="M55:N55"/>
    <mergeCell ref="A56:B56"/>
    <mergeCell ref="M56:N56"/>
    <mergeCell ref="A57:B57"/>
    <mergeCell ref="M57:N57"/>
    <mergeCell ref="A58:B58"/>
    <mergeCell ref="M58:N58"/>
    <mergeCell ref="A60:B60"/>
    <mergeCell ref="M60:N60"/>
    <mergeCell ref="A61:B61"/>
    <mergeCell ref="M61:N61"/>
    <mergeCell ref="A62:B62"/>
    <mergeCell ref="M62:N62"/>
    <mergeCell ref="A52:B52"/>
    <mergeCell ref="M52:N52"/>
    <mergeCell ref="A53:B53"/>
    <mergeCell ref="M53:N53"/>
    <mergeCell ref="A54:B54"/>
    <mergeCell ref="M54:N54"/>
    <mergeCell ref="A49:B49"/>
    <mergeCell ref="M49:N49"/>
    <mergeCell ref="A50:B50"/>
    <mergeCell ref="M50:N50"/>
    <mergeCell ref="A51:B51"/>
    <mergeCell ref="M51:N51"/>
    <mergeCell ref="A46:B46"/>
    <mergeCell ref="M46:N46"/>
    <mergeCell ref="A47:B47"/>
    <mergeCell ref="M47:N47"/>
    <mergeCell ref="A48:B48"/>
    <mergeCell ref="M48:N48"/>
    <mergeCell ref="A43:B43"/>
    <mergeCell ref="M43:N43"/>
    <mergeCell ref="A44:B44"/>
    <mergeCell ref="M44:N44"/>
    <mergeCell ref="A45:B45"/>
    <mergeCell ref="M45:N45"/>
    <mergeCell ref="A40:B40"/>
    <mergeCell ref="M40:N40"/>
    <mergeCell ref="A41:B41"/>
    <mergeCell ref="M41:N41"/>
    <mergeCell ref="A42:B42"/>
    <mergeCell ref="M42:N42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8:B18"/>
    <mergeCell ref="M18:N18"/>
    <mergeCell ref="A19:B19"/>
    <mergeCell ref="M19:N19"/>
    <mergeCell ref="A20:B20"/>
    <mergeCell ref="A21:B21"/>
    <mergeCell ref="A15:B15"/>
    <mergeCell ref="M15:N15"/>
    <mergeCell ref="A16:B16"/>
    <mergeCell ref="M16:N16"/>
    <mergeCell ref="A17:B17"/>
    <mergeCell ref="M17:N17"/>
    <mergeCell ref="A12:B12"/>
    <mergeCell ref="M12:N12"/>
    <mergeCell ref="A13:B13"/>
    <mergeCell ref="M13:N13"/>
    <mergeCell ref="A14:B14"/>
    <mergeCell ref="M14:N14"/>
    <mergeCell ref="A9:B9"/>
    <mergeCell ref="M9:N9"/>
    <mergeCell ref="A10:B10"/>
    <mergeCell ref="M10:N10"/>
    <mergeCell ref="A11:B11"/>
    <mergeCell ref="M11:N11"/>
    <mergeCell ref="A6:B6"/>
    <mergeCell ref="M6:N6"/>
    <mergeCell ref="A7:B7"/>
    <mergeCell ref="M7:N7"/>
    <mergeCell ref="A8:B8"/>
    <mergeCell ref="M8:N8"/>
    <mergeCell ref="A1:O1"/>
    <mergeCell ref="A3:B3"/>
    <mergeCell ref="M3:N3"/>
    <mergeCell ref="A4:B4"/>
    <mergeCell ref="M4:N4"/>
    <mergeCell ref="A5:B5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4B186-9D84-42D3-8BEC-97BB87503B96}">
  <dimension ref="A1:P142"/>
  <sheetViews>
    <sheetView showGridLines="0" zoomScale="130" zoomScaleNormal="13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D34" sqref="D34"/>
    </sheetView>
  </sheetViews>
  <sheetFormatPr defaultColWidth="7.4140625" defaultRowHeight="9"/>
  <cols>
    <col min="1" max="1" width="3.5" style="115" customWidth="1"/>
    <col min="2" max="2" width="30.5" style="115" customWidth="1"/>
    <col min="3" max="15" width="7.1640625" style="116" customWidth="1"/>
    <col min="16" max="16" width="4.83203125" style="115" customWidth="1"/>
    <col min="17" max="16384" width="7.4140625" style="115"/>
  </cols>
  <sheetData>
    <row r="1" spans="1:15">
      <c r="A1" s="170" t="s">
        <v>863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</row>
    <row r="2" spans="1:15">
      <c r="A2" s="170" t="s">
        <v>862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</row>
    <row r="3" spans="1:15">
      <c r="B3" s="169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</row>
    <row r="4" spans="1:15" s="117" customFormat="1">
      <c r="B4" s="132" t="s">
        <v>861</v>
      </c>
      <c r="C4" s="166" t="s">
        <v>8</v>
      </c>
      <c r="D4" s="167" t="s">
        <v>9</v>
      </c>
      <c r="E4" s="166" t="s">
        <v>10</v>
      </c>
      <c r="F4" s="167" t="s">
        <v>11</v>
      </c>
      <c r="G4" s="166" t="s">
        <v>12</v>
      </c>
      <c r="H4" s="166" t="s">
        <v>13</v>
      </c>
      <c r="I4" s="166" t="s">
        <v>14</v>
      </c>
      <c r="J4" s="166" t="s">
        <v>15</v>
      </c>
      <c r="K4" s="166" t="s">
        <v>16</v>
      </c>
      <c r="L4" s="166" t="s">
        <v>17</v>
      </c>
      <c r="M4" s="167" t="s">
        <v>18</v>
      </c>
      <c r="N4" s="166" t="s">
        <v>19</v>
      </c>
      <c r="O4" s="165" t="s">
        <v>20</v>
      </c>
    </row>
    <row r="5" spans="1:15">
      <c r="B5" s="164"/>
      <c r="C5" s="162"/>
      <c r="D5" s="163"/>
      <c r="E5" s="162"/>
      <c r="F5" s="163"/>
      <c r="G5" s="162"/>
      <c r="H5" s="162"/>
      <c r="I5" s="162"/>
      <c r="J5" s="162"/>
      <c r="K5" s="162"/>
      <c r="L5" s="162"/>
      <c r="M5" s="163"/>
      <c r="N5" s="162"/>
      <c r="O5" s="161"/>
    </row>
    <row r="6" spans="1:15">
      <c r="B6" s="140" t="s">
        <v>860</v>
      </c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</row>
    <row r="7" spans="1:15">
      <c r="B7" s="136" t="s">
        <v>426</v>
      </c>
      <c r="C7" s="134">
        <v>126104.35</v>
      </c>
      <c r="D7" s="135">
        <v>140785.18</v>
      </c>
      <c r="E7" s="134">
        <v>107855.71</v>
      </c>
      <c r="F7" s="135">
        <v>99225.4</v>
      </c>
      <c r="G7" s="134">
        <v>96782.6</v>
      </c>
      <c r="H7" s="134">
        <v>117223.97</v>
      </c>
      <c r="I7" s="134">
        <v>109514.26</v>
      </c>
      <c r="J7" s="134">
        <v>109580.51</v>
      </c>
      <c r="K7" s="134">
        <v>108553.11</v>
      </c>
      <c r="L7" s="134">
        <v>99242.36</v>
      </c>
      <c r="M7" s="135">
        <v>105029.49</v>
      </c>
      <c r="N7" s="134">
        <v>109528.05</v>
      </c>
      <c r="O7" s="133">
        <f>SUM(C7:N7)</f>
        <v>1329424.99</v>
      </c>
    </row>
    <row r="8" spans="1:15">
      <c r="B8" s="132" t="s">
        <v>860</v>
      </c>
      <c r="C8" s="130">
        <v>126104.35</v>
      </c>
      <c r="D8" s="131">
        <v>140785.18</v>
      </c>
      <c r="E8" s="130">
        <v>107855.71</v>
      </c>
      <c r="F8" s="131">
        <v>99225.4</v>
      </c>
      <c r="G8" s="130">
        <v>96782.6</v>
      </c>
      <c r="H8" s="130">
        <v>117223.97</v>
      </c>
      <c r="I8" s="130">
        <v>109514.26</v>
      </c>
      <c r="J8" s="130">
        <v>109580.51</v>
      </c>
      <c r="K8" s="130">
        <v>108553.11</v>
      </c>
      <c r="L8" s="130">
        <v>99242.36</v>
      </c>
      <c r="M8" s="131">
        <v>105029.49</v>
      </c>
      <c r="N8" s="130">
        <v>109528.05</v>
      </c>
      <c r="O8" s="129">
        <f>SUM(C8:N8)</f>
        <v>1329424.99</v>
      </c>
    </row>
    <row r="9" spans="1:15">
      <c r="B9" s="154"/>
      <c r="C9" s="152"/>
      <c r="D9" s="153"/>
      <c r="E9" s="152"/>
      <c r="F9" s="153"/>
      <c r="G9" s="152"/>
      <c r="H9" s="152"/>
      <c r="I9" s="152"/>
      <c r="J9" s="152"/>
      <c r="K9" s="152"/>
      <c r="L9" s="152"/>
      <c r="M9" s="153"/>
      <c r="N9" s="152"/>
      <c r="O9" s="151"/>
    </row>
    <row r="10" spans="1:15">
      <c r="B10" s="160" t="s">
        <v>859</v>
      </c>
      <c r="C10" s="158">
        <v>150</v>
      </c>
      <c r="D10" s="159">
        <v>1500</v>
      </c>
      <c r="E10" s="158">
        <v>525</v>
      </c>
      <c r="F10" s="159">
        <v>600</v>
      </c>
      <c r="G10" s="158">
        <v>8475</v>
      </c>
      <c r="H10" s="158">
        <v>675</v>
      </c>
      <c r="I10" s="158">
        <v>300</v>
      </c>
      <c r="J10" s="158">
        <v>225</v>
      </c>
      <c r="K10" s="158">
        <v>150</v>
      </c>
      <c r="L10" s="158">
        <v>900</v>
      </c>
      <c r="M10" s="159">
        <v>300</v>
      </c>
      <c r="N10" s="158">
        <v>430.65</v>
      </c>
      <c r="O10" s="157">
        <f>SUM(C10:N10)</f>
        <v>14230.65</v>
      </c>
    </row>
    <row r="11" spans="1:15">
      <c r="B11" s="136"/>
      <c r="C11" s="134"/>
      <c r="D11" s="135"/>
      <c r="E11" s="134"/>
      <c r="F11" s="135"/>
      <c r="G11" s="134"/>
      <c r="H11" s="134"/>
      <c r="I11" s="134"/>
      <c r="J11" s="134"/>
      <c r="K11" s="134"/>
      <c r="L11" s="134"/>
      <c r="M11" s="135"/>
      <c r="N11" s="134"/>
      <c r="O11" s="133"/>
    </row>
    <row r="12" spans="1:15">
      <c r="B12" s="143" t="s">
        <v>857</v>
      </c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15">
      <c r="B13" s="136" t="s">
        <v>858</v>
      </c>
      <c r="C13" s="134">
        <v>0</v>
      </c>
      <c r="D13" s="135">
        <v>0</v>
      </c>
      <c r="E13" s="134">
        <v>0</v>
      </c>
      <c r="F13" s="135">
        <v>0</v>
      </c>
      <c r="G13" s="134">
        <v>0</v>
      </c>
      <c r="H13" s="134">
        <v>0</v>
      </c>
      <c r="I13" s="134">
        <v>0</v>
      </c>
      <c r="J13" s="134">
        <v>0</v>
      </c>
      <c r="K13" s="134">
        <v>-200</v>
      </c>
      <c r="L13" s="134">
        <v>0</v>
      </c>
      <c r="M13" s="135">
        <v>0</v>
      </c>
      <c r="N13" s="134">
        <v>0</v>
      </c>
      <c r="O13" s="133">
        <f>SUM(C13:N13)</f>
        <v>-200</v>
      </c>
    </row>
    <row r="14" spans="1:15" s="117" customFormat="1">
      <c r="B14" s="132" t="s">
        <v>857</v>
      </c>
      <c r="C14" s="130">
        <v>0</v>
      </c>
      <c r="D14" s="131">
        <v>0</v>
      </c>
      <c r="E14" s="130">
        <v>0</v>
      </c>
      <c r="F14" s="131">
        <v>0</v>
      </c>
      <c r="G14" s="130">
        <v>0</v>
      </c>
      <c r="H14" s="130">
        <v>0</v>
      </c>
      <c r="I14" s="130">
        <v>0</v>
      </c>
      <c r="J14" s="130">
        <v>0</v>
      </c>
      <c r="K14" s="130">
        <v>-200</v>
      </c>
      <c r="L14" s="130">
        <v>0</v>
      </c>
      <c r="M14" s="131">
        <v>0</v>
      </c>
      <c r="N14" s="130">
        <v>0</v>
      </c>
      <c r="O14" s="129">
        <f>SUM(C14:N14)</f>
        <v>-200</v>
      </c>
    </row>
    <row r="15" spans="1:15">
      <c r="B15" s="136"/>
      <c r="C15" s="134"/>
      <c r="D15" s="135"/>
      <c r="E15" s="134"/>
      <c r="F15" s="135"/>
      <c r="G15" s="134"/>
      <c r="H15" s="134"/>
      <c r="I15" s="134"/>
      <c r="J15" s="134"/>
      <c r="K15" s="134"/>
      <c r="L15" s="134"/>
      <c r="M15" s="135"/>
      <c r="N15" s="134"/>
      <c r="O15" s="133"/>
    </row>
    <row r="16" spans="1:15">
      <c r="B16" s="143" t="s">
        <v>842</v>
      </c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2:15">
      <c r="B17" s="136" t="s">
        <v>473</v>
      </c>
      <c r="C17" s="134">
        <v>154</v>
      </c>
      <c r="D17" s="135">
        <v>0</v>
      </c>
      <c r="E17" s="134">
        <v>0</v>
      </c>
      <c r="F17" s="135">
        <v>0</v>
      </c>
      <c r="G17" s="134">
        <v>0</v>
      </c>
      <c r="H17" s="134">
        <v>0</v>
      </c>
      <c r="I17" s="134">
        <v>0</v>
      </c>
      <c r="J17" s="134">
        <v>0</v>
      </c>
      <c r="K17" s="134">
        <v>0</v>
      </c>
      <c r="L17" s="134">
        <v>0</v>
      </c>
      <c r="M17" s="135">
        <v>0</v>
      </c>
      <c r="N17" s="134">
        <v>0</v>
      </c>
      <c r="O17" s="133">
        <f>SUM(C17:N17)</f>
        <v>154</v>
      </c>
    </row>
    <row r="18" spans="2:15">
      <c r="B18" s="136" t="s">
        <v>856</v>
      </c>
      <c r="C18" s="134">
        <v>1847.82</v>
      </c>
      <c r="D18" s="135">
        <v>1830.54</v>
      </c>
      <c r="E18" s="134">
        <v>1503.26</v>
      </c>
      <c r="F18" s="135">
        <v>1403.56</v>
      </c>
      <c r="G18" s="134">
        <v>710.78</v>
      </c>
      <c r="H18" s="134">
        <v>1153.7</v>
      </c>
      <c r="I18" s="134">
        <v>1046.31</v>
      </c>
      <c r="J18" s="134">
        <v>1170.97</v>
      </c>
      <c r="K18" s="134">
        <v>1543.04</v>
      </c>
      <c r="L18" s="134">
        <v>1388.53</v>
      </c>
      <c r="M18" s="135">
        <v>1922.81</v>
      </c>
      <c r="N18" s="134">
        <v>1173.08</v>
      </c>
      <c r="O18" s="133">
        <f>SUM(C18:N18)</f>
        <v>16694.400000000001</v>
      </c>
    </row>
    <row r="19" spans="2:15">
      <c r="B19" s="136" t="s">
        <v>855</v>
      </c>
      <c r="C19" s="134">
        <v>0</v>
      </c>
      <c r="D19" s="135">
        <v>3102.76</v>
      </c>
      <c r="E19" s="134">
        <v>1155.53</v>
      </c>
      <c r="F19" s="135">
        <v>552.5</v>
      </c>
      <c r="G19" s="134">
        <v>287.54000000000002</v>
      </c>
      <c r="H19" s="134">
        <v>212.46</v>
      </c>
      <c r="I19" s="134">
        <v>60</v>
      </c>
      <c r="J19" s="134">
        <v>35</v>
      </c>
      <c r="K19" s="134">
        <v>1752.5</v>
      </c>
      <c r="L19" s="134">
        <v>1265.78</v>
      </c>
      <c r="M19" s="135">
        <v>353.28</v>
      </c>
      <c r="N19" s="134">
        <v>-303.55</v>
      </c>
      <c r="O19" s="133">
        <f>SUM(C19:N19)</f>
        <v>8473.8000000000011</v>
      </c>
    </row>
    <row r="20" spans="2:15">
      <c r="B20" s="136" t="s">
        <v>854</v>
      </c>
      <c r="C20" s="134">
        <v>160</v>
      </c>
      <c r="D20" s="135">
        <v>80</v>
      </c>
      <c r="E20" s="134">
        <v>40</v>
      </c>
      <c r="F20" s="135">
        <v>0</v>
      </c>
      <c r="G20" s="134">
        <v>40</v>
      </c>
      <c r="H20" s="134">
        <v>120</v>
      </c>
      <c r="I20" s="134">
        <v>40</v>
      </c>
      <c r="J20" s="134">
        <v>80</v>
      </c>
      <c r="K20" s="134">
        <v>160</v>
      </c>
      <c r="L20" s="134">
        <v>120</v>
      </c>
      <c r="M20" s="135">
        <v>160</v>
      </c>
      <c r="N20" s="134">
        <v>80</v>
      </c>
      <c r="O20" s="133">
        <f>SUM(C20:N20)</f>
        <v>1080</v>
      </c>
    </row>
    <row r="21" spans="2:15">
      <c r="B21" s="136" t="s">
        <v>853</v>
      </c>
      <c r="C21" s="134">
        <v>0</v>
      </c>
      <c r="D21" s="135">
        <v>0</v>
      </c>
      <c r="E21" s="134">
        <v>0</v>
      </c>
      <c r="F21" s="135">
        <v>0</v>
      </c>
      <c r="G21" s="134">
        <v>0</v>
      </c>
      <c r="H21" s="134">
        <v>450</v>
      </c>
      <c r="I21" s="134">
        <v>450</v>
      </c>
      <c r="J21" s="134">
        <v>451.81</v>
      </c>
      <c r="K21" s="134">
        <v>0</v>
      </c>
      <c r="L21" s="134">
        <v>450</v>
      </c>
      <c r="M21" s="135">
        <v>0</v>
      </c>
      <c r="N21" s="134">
        <v>450</v>
      </c>
      <c r="O21" s="133">
        <f>SUM(C21:N21)</f>
        <v>2251.81</v>
      </c>
    </row>
    <row r="22" spans="2:15">
      <c r="B22" s="136" t="s">
        <v>852</v>
      </c>
      <c r="C22" s="134">
        <v>0</v>
      </c>
      <c r="D22" s="135">
        <v>0</v>
      </c>
      <c r="E22" s="134">
        <v>0</v>
      </c>
      <c r="F22" s="135">
        <v>0</v>
      </c>
      <c r="G22" s="134">
        <v>0</v>
      </c>
      <c r="H22" s="134">
        <v>0</v>
      </c>
      <c r="I22" s="134">
        <v>0</v>
      </c>
      <c r="J22" s="134">
        <v>0</v>
      </c>
      <c r="K22" s="134">
        <v>275</v>
      </c>
      <c r="L22" s="134">
        <v>908.23</v>
      </c>
      <c r="M22" s="135">
        <v>92.5</v>
      </c>
      <c r="N22" s="134">
        <v>0</v>
      </c>
      <c r="O22" s="133">
        <f>SUM(C22:N22)</f>
        <v>1275.73</v>
      </c>
    </row>
    <row r="23" spans="2:15">
      <c r="B23" s="136" t="s">
        <v>851</v>
      </c>
      <c r="C23" s="134">
        <v>0</v>
      </c>
      <c r="D23" s="135">
        <v>0</v>
      </c>
      <c r="E23" s="134">
        <v>-29.06</v>
      </c>
      <c r="F23" s="135">
        <v>-88.61</v>
      </c>
      <c r="G23" s="134">
        <v>-130.03</v>
      </c>
      <c r="H23" s="134">
        <v>-65.75</v>
      </c>
      <c r="I23" s="134">
        <v>0</v>
      </c>
      <c r="J23" s="134">
        <v>-57.64</v>
      </c>
      <c r="K23" s="134">
        <v>0</v>
      </c>
      <c r="L23" s="134">
        <v>0</v>
      </c>
      <c r="M23" s="135">
        <v>0</v>
      </c>
      <c r="N23" s="134">
        <v>0</v>
      </c>
      <c r="O23" s="133">
        <f>SUM(C23:N23)</f>
        <v>-371.09</v>
      </c>
    </row>
    <row r="24" spans="2:15">
      <c r="B24" s="136" t="s">
        <v>850</v>
      </c>
      <c r="C24" s="134">
        <v>250</v>
      </c>
      <c r="D24" s="135">
        <v>0</v>
      </c>
      <c r="E24" s="134">
        <v>0</v>
      </c>
      <c r="F24" s="135">
        <v>0</v>
      </c>
      <c r="G24" s="134">
        <v>0</v>
      </c>
      <c r="H24" s="134">
        <v>0</v>
      </c>
      <c r="I24" s="134">
        <v>0</v>
      </c>
      <c r="J24" s="134">
        <v>1700</v>
      </c>
      <c r="K24" s="134">
        <v>2010.92</v>
      </c>
      <c r="L24" s="134">
        <v>-368.44</v>
      </c>
      <c r="M24" s="135">
        <v>1348.79</v>
      </c>
      <c r="N24" s="134">
        <v>253.85</v>
      </c>
      <c r="O24" s="133">
        <f>SUM(C24:N24)</f>
        <v>5195.1200000000008</v>
      </c>
    </row>
    <row r="25" spans="2:15">
      <c r="B25" s="136" t="s">
        <v>849</v>
      </c>
      <c r="C25" s="134">
        <v>290.31</v>
      </c>
      <c r="D25" s="135">
        <v>259.69</v>
      </c>
      <c r="E25" s="134">
        <v>300</v>
      </c>
      <c r="F25" s="135">
        <v>250</v>
      </c>
      <c r="G25" s="134">
        <v>75</v>
      </c>
      <c r="H25" s="134">
        <v>125</v>
      </c>
      <c r="I25" s="134">
        <v>75</v>
      </c>
      <c r="J25" s="134">
        <v>150</v>
      </c>
      <c r="K25" s="134">
        <v>125</v>
      </c>
      <c r="L25" s="134">
        <v>100</v>
      </c>
      <c r="M25" s="135">
        <v>125</v>
      </c>
      <c r="N25" s="134">
        <v>150</v>
      </c>
      <c r="O25" s="133">
        <f>SUM(C25:N25)</f>
        <v>2025</v>
      </c>
    </row>
    <row r="26" spans="2:15">
      <c r="B26" s="136" t="s">
        <v>848</v>
      </c>
      <c r="C26" s="134">
        <v>475</v>
      </c>
      <c r="D26" s="135">
        <v>475</v>
      </c>
      <c r="E26" s="134">
        <v>100</v>
      </c>
      <c r="F26" s="135">
        <v>100</v>
      </c>
      <c r="G26" s="134">
        <v>0</v>
      </c>
      <c r="H26" s="134">
        <v>0</v>
      </c>
      <c r="I26" s="134">
        <v>0</v>
      </c>
      <c r="J26" s="134">
        <v>0</v>
      </c>
      <c r="K26" s="134">
        <v>0</v>
      </c>
      <c r="L26" s="134">
        <v>0</v>
      </c>
      <c r="M26" s="135">
        <v>0</v>
      </c>
      <c r="N26" s="134">
        <v>0</v>
      </c>
      <c r="O26" s="133">
        <f>SUM(C26:N26)</f>
        <v>1150</v>
      </c>
    </row>
    <row r="27" spans="2:15">
      <c r="B27" s="136" t="s">
        <v>847</v>
      </c>
      <c r="C27" s="134">
        <v>0</v>
      </c>
      <c r="D27" s="135">
        <v>173.62</v>
      </c>
      <c r="E27" s="134">
        <v>838.62</v>
      </c>
      <c r="F27" s="135">
        <v>50</v>
      </c>
      <c r="G27" s="134">
        <v>2169.34</v>
      </c>
      <c r="H27" s="134">
        <v>-2342.61</v>
      </c>
      <c r="I27" s="134">
        <v>0</v>
      </c>
      <c r="J27" s="134">
        <v>0</v>
      </c>
      <c r="K27" s="134">
        <v>0</v>
      </c>
      <c r="L27" s="134">
        <v>0</v>
      </c>
      <c r="M27" s="135">
        <v>0</v>
      </c>
      <c r="N27" s="134">
        <v>0</v>
      </c>
      <c r="O27" s="133">
        <f>SUM(C27:N27)</f>
        <v>888.9699999999998</v>
      </c>
    </row>
    <row r="28" spans="2:15">
      <c r="B28" s="136" t="s">
        <v>846</v>
      </c>
      <c r="C28" s="155">
        <v>0</v>
      </c>
      <c r="D28" s="134">
        <v>0</v>
      </c>
      <c r="E28" s="135">
        <v>0</v>
      </c>
      <c r="F28" s="134">
        <v>0</v>
      </c>
      <c r="G28" s="134">
        <v>0</v>
      </c>
      <c r="H28" s="134">
        <v>6.59</v>
      </c>
      <c r="I28" s="134">
        <v>0</v>
      </c>
      <c r="J28" s="134">
        <v>0</v>
      </c>
      <c r="K28" s="134">
        <v>0</v>
      </c>
      <c r="L28" s="134">
        <v>0</v>
      </c>
      <c r="M28" s="134">
        <v>0</v>
      </c>
      <c r="N28" s="134">
        <v>0</v>
      </c>
      <c r="O28" s="133">
        <f>SUM(C28:N28)</f>
        <v>6.59</v>
      </c>
    </row>
    <row r="29" spans="2:15">
      <c r="B29" s="156" t="s">
        <v>845</v>
      </c>
      <c r="C29" s="155"/>
      <c r="D29" s="134">
        <v>200</v>
      </c>
      <c r="E29" s="135">
        <v>1903.28</v>
      </c>
      <c r="F29" s="134">
        <v>150</v>
      </c>
      <c r="G29" s="134">
        <v>2109.13</v>
      </c>
      <c r="H29" s="134">
        <v>650</v>
      </c>
      <c r="I29" s="134">
        <v>0</v>
      </c>
      <c r="J29" s="134">
        <v>90.72</v>
      </c>
      <c r="K29" s="134">
        <v>0</v>
      </c>
      <c r="L29" s="134">
        <v>360.35</v>
      </c>
      <c r="M29" s="134">
        <v>0</v>
      </c>
      <c r="N29" s="134">
        <v>0</v>
      </c>
      <c r="O29" s="133">
        <f>SUM(C29:N29)</f>
        <v>5463.4800000000005</v>
      </c>
    </row>
    <row r="30" spans="2:15">
      <c r="B30" s="136" t="s">
        <v>844</v>
      </c>
      <c r="C30" s="148">
        <v>0</v>
      </c>
      <c r="D30" s="149">
        <v>50</v>
      </c>
      <c r="E30" s="148">
        <v>100</v>
      </c>
      <c r="F30" s="148">
        <v>0</v>
      </c>
      <c r="G30" s="148">
        <v>200</v>
      </c>
      <c r="H30" s="148">
        <v>50</v>
      </c>
      <c r="I30" s="148">
        <v>0</v>
      </c>
      <c r="J30" s="148">
        <v>0</v>
      </c>
      <c r="K30" s="148">
        <v>0</v>
      </c>
      <c r="L30" s="148">
        <v>0</v>
      </c>
      <c r="M30" s="149">
        <v>0</v>
      </c>
      <c r="N30" s="148">
        <v>0</v>
      </c>
      <c r="O30" s="147">
        <f>SUM(C30:N30)</f>
        <v>400</v>
      </c>
    </row>
    <row r="31" spans="2:15">
      <c r="B31" s="136" t="s">
        <v>843</v>
      </c>
      <c r="C31" s="134">
        <v>17208.71</v>
      </c>
      <c r="D31" s="135">
        <v>13273.54</v>
      </c>
      <c r="E31" s="134">
        <v>12732.35</v>
      </c>
      <c r="F31" s="134">
        <v>14287.09</v>
      </c>
      <c r="G31" s="134">
        <v>10701.66</v>
      </c>
      <c r="H31" s="134">
        <v>7769.16</v>
      </c>
      <c r="I31" s="134">
        <v>10129.73</v>
      </c>
      <c r="J31" s="134">
        <v>12436.12</v>
      </c>
      <c r="K31" s="134">
        <v>11106.65</v>
      </c>
      <c r="L31" s="134">
        <v>10735.03</v>
      </c>
      <c r="M31" s="135">
        <v>11493.22</v>
      </c>
      <c r="N31" s="134">
        <v>14259.07</v>
      </c>
      <c r="O31" s="133">
        <f>SUM(C31:N31)</f>
        <v>146132.32999999999</v>
      </c>
    </row>
    <row r="32" spans="2:15" s="117" customFormat="1">
      <c r="B32" s="132" t="s">
        <v>842</v>
      </c>
      <c r="C32" s="130">
        <v>20385.84</v>
      </c>
      <c r="D32" s="131">
        <v>19445.150000000001</v>
      </c>
      <c r="E32" s="130">
        <v>18643.98</v>
      </c>
      <c r="F32" s="130">
        <v>16704.54</v>
      </c>
      <c r="G32" s="130">
        <v>16163.42</v>
      </c>
      <c r="H32" s="130">
        <v>8128.55</v>
      </c>
      <c r="I32" s="130">
        <v>11801.04</v>
      </c>
      <c r="J32" s="130">
        <v>16056.98</v>
      </c>
      <c r="K32" s="130">
        <v>16973.11</v>
      </c>
      <c r="L32" s="130">
        <v>14959.48</v>
      </c>
      <c r="M32" s="131">
        <v>15495.6</v>
      </c>
      <c r="N32" s="130">
        <v>16062.45</v>
      </c>
      <c r="O32" s="129">
        <f>SUM(C32:N32)</f>
        <v>190820.14000000004</v>
      </c>
    </row>
    <row r="33" spans="2:15" s="117" customFormat="1">
      <c r="B33" s="154"/>
      <c r="C33" s="152"/>
      <c r="D33" s="153"/>
      <c r="E33" s="152"/>
      <c r="F33" s="152"/>
      <c r="G33" s="152"/>
      <c r="H33" s="152"/>
      <c r="I33" s="152"/>
      <c r="J33" s="152"/>
      <c r="K33" s="152"/>
      <c r="L33" s="152"/>
      <c r="M33" s="153"/>
      <c r="N33" s="152"/>
      <c r="O33" s="151"/>
    </row>
    <row r="34" spans="2:15" s="117" customFormat="1">
      <c r="B34" s="132" t="s">
        <v>481</v>
      </c>
      <c r="C34" s="130">
        <v>146640.19</v>
      </c>
      <c r="D34" s="131">
        <v>161730.32999999999</v>
      </c>
      <c r="E34" s="130">
        <v>127024.69</v>
      </c>
      <c r="F34" s="130">
        <v>116529.94</v>
      </c>
      <c r="G34" s="130">
        <v>121421.02</v>
      </c>
      <c r="H34" s="130">
        <v>126027.52</v>
      </c>
      <c r="I34" s="130">
        <v>121615.3</v>
      </c>
      <c r="J34" s="130">
        <v>125862.49</v>
      </c>
      <c r="K34" s="130">
        <v>125476.22</v>
      </c>
      <c r="L34" s="130">
        <v>115101.84</v>
      </c>
      <c r="M34" s="131">
        <v>120825.09</v>
      </c>
      <c r="N34" s="130">
        <v>126021.15</v>
      </c>
      <c r="O34" s="129">
        <f>SUM(C34:N34)</f>
        <v>1534275.7800000003</v>
      </c>
    </row>
    <row r="35" spans="2:15">
      <c r="B35" s="136"/>
      <c r="C35" s="134"/>
      <c r="D35" s="135"/>
      <c r="E35" s="134"/>
      <c r="F35" s="134"/>
      <c r="G35" s="134"/>
      <c r="H35" s="134"/>
      <c r="I35" s="134"/>
      <c r="J35" s="134"/>
      <c r="K35" s="134"/>
      <c r="L35" s="134"/>
      <c r="M35" s="135"/>
      <c r="N35" s="134"/>
      <c r="O35" s="133"/>
    </row>
    <row r="36" spans="2:15">
      <c r="B36" s="140" t="s">
        <v>786</v>
      </c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</row>
    <row r="37" spans="2:15">
      <c r="B37" s="136" t="s">
        <v>841</v>
      </c>
      <c r="C37" s="134">
        <v>41985.09</v>
      </c>
      <c r="D37" s="135">
        <v>41985.09</v>
      </c>
      <c r="E37" s="134">
        <v>0</v>
      </c>
      <c r="F37" s="134">
        <v>41915</v>
      </c>
      <c r="G37" s="134">
        <v>41915.18</v>
      </c>
      <c r="H37" s="134">
        <v>41915</v>
      </c>
      <c r="I37" s="134">
        <v>41015</v>
      </c>
      <c r="J37" s="134">
        <v>41915.089999999997</v>
      </c>
      <c r="K37" s="134">
        <v>41915.089999999997</v>
      </c>
      <c r="L37" s="134">
        <v>41915.089999999997</v>
      </c>
      <c r="M37" s="135">
        <v>41915.089999999997</v>
      </c>
      <c r="N37" s="134">
        <v>41915.089999999997</v>
      </c>
      <c r="O37" s="133">
        <f>SUM(C37:N37)</f>
        <v>460305.80999999982</v>
      </c>
    </row>
    <row r="38" spans="2:15">
      <c r="B38" s="150" t="s">
        <v>840</v>
      </c>
      <c r="C38" s="148">
        <v>11284.83</v>
      </c>
      <c r="D38" s="149">
        <v>14155.61</v>
      </c>
      <c r="E38" s="148">
        <v>13441.07</v>
      </c>
      <c r="F38" s="148">
        <v>12046.72</v>
      </c>
      <c r="G38" s="148">
        <v>15760.74</v>
      </c>
      <c r="H38" s="148">
        <v>9953.2999999999993</v>
      </c>
      <c r="I38" s="148">
        <v>9054.6299999999992</v>
      </c>
      <c r="J38" s="148">
        <v>10307.799999999999</v>
      </c>
      <c r="K38" s="148">
        <v>11795.41</v>
      </c>
      <c r="L38" s="148">
        <v>13663.59</v>
      </c>
      <c r="M38" s="149">
        <v>7493.57</v>
      </c>
      <c r="N38" s="148">
        <v>9010.85</v>
      </c>
      <c r="O38" s="147">
        <f>SUM(C38:N38)</f>
        <v>137968.12000000002</v>
      </c>
    </row>
    <row r="39" spans="2:15">
      <c r="B39" s="136" t="s">
        <v>839</v>
      </c>
      <c r="C39" s="134">
        <v>2040.23</v>
      </c>
      <c r="D39" s="135">
        <v>3631.38</v>
      </c>
      <c r="E39" s="134">
        <v>3676.97</v>
      </c>
      <c r="F39" s="134">
        <v>3049.05</v>
      </c>
      <c r="G39" s="134">
        <v>5321.36</v>
      </c>
      <c r="H39" s="134">
        <v>2325.77</v>
      </c>
      <c r="I39" s="134">
        <v>2148.39</v>
      </c>
      <c r="J39" s="134">
        <v>2348.91</v>
      </c>
      <c r="K39" s="134">
        <v>1414.52</v>
      </c>
      <c r="L39" s="134">
        <v>3547.41</v>
      </c>
      <c r="M39" s="135">
        <v>1773.3</v>
      </c>
      <c r="N39" s="134">
        <v>2100.85</v>
      </c>
      <c r="O39" s="133">
        <f>SUM(C39:N39)</f>
        <v>33378.14</v>
      </c>
    </row>
    <row r="40" spans="2:15">
      <c r="B40" s="136" t="s">
        <v>838</v>
      </c>
      <c r="C40" s="134">
        <v>725.67</v>
      </c>
      <c r="D40" s="135">
        <v>965.72</v>
      </c>
      <c r="E40" s="134">
        <v>642.29999999999995</v>
      </c>
      <c r="F40" s="134">
        <v>952.02</v>
      </c>
      <c r="G40" s="134">
        <v>4269.0200000000004</v>
      </c>
      <c r="H40" s="134">
        <v>720.9</v>
      </c>
      <c r="I40" s="134">
        <v>826.09</v>
      </c>
      <c r="J40" s="134">
        <v>663.4</v>
      </c>
      <c r="K40" s="134">
        <v>2029.15</v>
      </c>
      <c r="L40" s="134">
        <v>884.16</v>
      </c>
      <c r="M40" s="135">
        <v>847.32</v>
      </c>
      <c r="N40" s="134">
        <v>723.95</v>
      </c>
      <c r="O40" s="133">
        <f>SUM(C40:N40)</f>
        <v>14249.699999999999</v>
      </c>
    </row>
    <row r="41" spans="2:15">
      <c r="B41" s="132" t="s">
        <v>837</v>
      </c>
      <c r="C41" s="145">
        <v>14050.73</v>
      </c>
      <c r="D41" s="131">
        <v>18752.71</v>
      </c>
      <c r="E41" s="130">
        <v>17760.34</v>
      </c>
      <c r="F41" s="130">
        <v>16047.79</v>
      </c>
      <c r="G41" s="130">
        <v>25351.119999999999</v>
      </c>
      <c r="H41" s="130">
        <v>12999.97</v>
      </c>
      <c r="I41" s="130">
        <v>12029.11</v>
      </c>
      <c r="J41" s="130">
        <v>13320.11</v>
      </c>
      <c r="K41" s="130">
        <v>15239.08</v>
      </c>
      <c r="L41" s="130">
        <v>18095.16</v>
      </c>
      <c r="M41" s="131">
        <v>10114.19</v>
      </c>
      <c r="N41" s="130">
        <v>11835.65</v>
      </c>
      <c r="O41" s="129">
        <f>SUM(C41:N41)</f>
        <v>185595.96</v>
      </c>
    </row>
    <row r="42" spans="2:15">
      <c r="B42" s="136"/>
      <c r="C42" s="144"/>
      <c r="D42" s="135"/>
      <c r="E42" s="134"/>
      <c r="F42" s="134"/>
      <c r="G42" s="134"/>
      <c r="H42" s="134"/>
      <c r="I42" s="134"/>
      <c r="J42" s="134"/>
      <c r="K42" s="134"/>
      <c r="L42" s="134"/>
      <c r="M42" s="135"/>
      <c r="N42" s="134"/>
      <c r="O42" s="133"/>
    </row>
    <row r="43" spans="2:15">
      <c r="B43" s="143" t="s">
        <v>836</v>
      </c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2:15">
      <c r="B44" s="136" t="s">
        <v>835</v>
      </c>
      <c r="C44" s="134">
        <v>0</v>
      </c>
      <c r="D44" s="135">
        <v>0</v>
      </c>
      <c r="E44" s="134">
        <v>334.14</v>
      </c>
      <c r="F44" s="134">
        <v>549.29</v>
      </c>
      <c r="G44" s="134">
        <v>35.69</v>
      </c>
      <c r="H44" s="134">
        <v>0</v>
      </c>
      <c r="I44" s="134">
        <v>0</v>
      </c>
      <c r="J44" s="134">
        <v>0</v>
      </c>
      <c r="K44" s="134">
        <v>0</v>
      </c>
      <c r="L44" s="134">
        <v>0</v>
      </c>
      <c r="M44" s="135">
        <v>0</v>
      </c>
      <c r="N44" s="134">
        <v>0</v>
      </c>
      <c r="O44" s="133">
        <f>SUM(C44:N44)</f>
        <v>919.11999999999989</v>
      </c>
    </row>
    <row r="45" spans="2:15">
      <c r="B45" s="136" t="s">
        <v>834</v>
      </c>
      <c r="C45" s="134">
        <v>0</v>
      </c>
      <c r="D45" s="135">
        <v>0</v>
      </c>
      <c r="E45" s="134">
        <v>0</v>
      </c>
      <c r="F45" s="134">
        <v>378.31</v>
      </c>
      <c r="G45" s="134">
        <v>360.47</v>
      </c>
      <c r="H45" s="134">
        <v>0</v>
      </c>
      <c r="I45" s="134">
        <v>427.68</v>
      </c>
      <c r="J45" s="134">
        <v>0</v>
      </c>
      <c r="K45" s="134">
        <v>0</v>
      </c>
      <c r="L45" s="134">
        <v>0</v>
      </c>
      <c r="M45" s="135">
        <v>0</v>
      </c>
      <c r="N45" s="134">
        <v>0</v>
      </c>
      <c r="O45" s="133">
        <f>SUM(C45:N45)</f>
        <v>1166.46</v>
      </c>
    </row>
    <row r="46" spans="2:15">
      <c r="B46" s="136" t="s">
        <v>833</v>
      </c>
      <c r="C46" s="134">
        <v>4834.71</v>
      </c>
      <c r="D46" s="135">
        <v>3095.15</v>
      </c>
      <c r="E46" s="134">
        <v>19655.28</v>
      </c>
      <c r="F46" s="134">
        <v>26061.56</v>
      </c>
      <c r="G46" s="134">
        <v>15498.73</v>
      </c>
      <c r="H46" s="134">
        <v>7387.23</v>
      </c>
      <c r="I46" s="134">
        <v>4114.8</v>
      </c>
      <c r="J46" s="134">
        <v>7826.72</v>
      </c>
      <c r="K46" s="134">
        <v>4110.32</v>
      </c>
      <c r="L46" s="134">
        <v>4226.6000000000004</v>
      </c>
      <c r="M46" s="135">
        <v>5311.79</v>
      </c>
      <c r="N46" s="134">
        <v>3688.26</v>
      </c>
      <c r="O46" s="133">
        <f>SUM(C46:N46)</f>
        <v>105811.15</v>
      </c>
    </row>
    <row r="47" spans="2:15" s="117" customFormat="1">
      <c r="B47" s="132" t="s">
        <v>832</v>
      </c>
      <c r="C47" s="145">
        <f>C46</f>
        <v>4834.71</v>
      </c>
      <c r="D47" s="131">
        <v>3095.15</v>
      </c>
      <c r="E47" s="130">
        <v>19989.419999999998</v>
      </c>
      <c r="F47" s="130">
        <v>26989.16</v>
      </c>
      <c r="G47" s="130">
        <v>15894.89</v>
      </c>
      <c r="H47" s="130">
        <v>7387.23</v>
      </c>
      <c r="I47" s="130">
        <v>4542.4799999999996</v>
      </c>
      <c r="J47" s="130">
        <v>7826.72</v>
      </c>
      <c r="K47" s="130">
        <v>4110.32</v>
      </c>
      <c r="L47" s="130">
        <v>4226.6000000000004</v>
      </c>
      <c r="M47" s="131">
        <v>5311.79</v>
      </c>
      <c r="N47" s="130">
        <v>3688.26</v>
      </c>
      <c r="O47" s="129">
        <f>SUM(C47:N47)</f>
        <v>107896.72999999998</v>
      </c>
    </row>
    <row r="48" spans="2:15">
      <c r="B48" s="136"/>
      <c r="C48" s="144"/>
      <c r="D48" s="135"/>
      <c r="E48" s="134"/>
      <c r="F48" s="134"/>
      <c r="G48" s="134"/>
      <c r="H48" s="134"/>
      <c r="I48" s="134"/>
      <c r="J48" s="134"/>
      <c r="K48" s="134"/>
      <c r="L48" s="134"/>
      <c r="M48" s="135"/>
      <c r="N48" s="134"/>
      <c r="O48" s="133"/>
    </row>
    <row r="49" spans="2:15">
      <c r="B49" s="139" t="s">
        <v>831</v>
      </c>
      <c r="C49" s="146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</row>
    <row r="50" spans="2:15">
      <c r="B50" s="136" t="s">
        <v>830</v>
      </c>
      <c r="C50" s="144">
        <v>0</v>
      </c>
      <c r="D50" s="135">
        <v>0</v>
      </c>
      <c r="E50" s="134">
        <v>0</v>
      </c>
      <c r="F50" s="134">
        <v>0</v>
      </c>
      <c r="G50" s="134">
        <v>545.46</v>
      </c>
      <c r="H50" s="134">
        <v>0</v>
      </c>
      <c r="I50" s="134">
        <v>0</v>
      </c>
      <c r="J50" s="134">
        <v>0</v>
      </c>
      <c r="K50" s="134">
        <v>0</v>
      </c>
      <c r="L50" s="134">
        <v>0</v>
      </c>
      <c r="M50" s="135">
        <v>0</v>
      </c>
      <c r="N50" s="134">
        <v>0</v>
      </c>
      <c r="O50" s="133">
        <f>SUM(C50:N50)</f>
        <v>545.46</v>
      </c>
    </row>
    <row r="51" spans="2:15" s="117" customFormat="1">
      <c r="B51" s="132" t="s">
        <v>829</v>
      </c>
      <c r="C51" s="145"/>
      <c r="D51" s="131">
        <v>0</v>
      </c>
      <c r="E51" s="130">
        <v>0</v>
      </c>
      <c r="F51" s="130">
        <v>0</v>
      </c>
      <c r="G51" s="130">
        <v>545.46</v>
      </c>
      <c r="H51" s="130">
        <v>0</v>
      </c>
      <c r="I51" s="130">
        <v>0</v>
      </c>
      <c r="J51" s="130">
        <v>0</v>
      </c>
      <c r="K51" s="130">
        <v>0</v>
      </c>
      <c r="L51" s="130">
        <v>0</v>
      </c>
      <c r="M51" s="131">
        <v>0</v>
      </c>
      <c r="N51" s="130">
        <v>0</v>
      </c>
      <c r="O51" s="129">
        <f>SUM(C51:N51)</f>
        <v>545.46</v>
      </c>
    </row>
    <row r="52" spans="2:15">
      <c r="B52" s="136"/>
      <c r="C52" s="144"/>
      <c r="D52" s="135"/>
      <c r="E52" s="134"/>
      <c r="F52" s="134"/>
      <c r="G52" s="134"/>
      <c r="H52" s="134"/>
      <c r="I52" s="134"/>
      <c r="J52" s="134"/>
      <c r="K52" s="134"/>
      <c r="L52" s="134"/>
      <c r="M52" s="135"/>
      <c r="N52" s="134"/>
      <c r="O52" s="133"/>
    </row>
    <row r="53" spans="2:15">
      <c r="B53" s="143" t="s">
        <v>824</v>
      </c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</row>
    <row r="54" spans="2:15">
      <c r="B54" s="136" t="s">
        <v>828</v>
      </c>
      <c r="C54" s="134">
        <v>12525.08</v>
      </c>
      <c r="D54" s="135">
        <v>25206.74</v>
      </c>
      <c r="E54" s="134">
        <v>11967.38</v>
      </c>
      <c r="F54" s="134">
        <v>14741.16</v>
      </c>
      <c r="G54" s="134">
        <v>16075.96</v>
      </c>
      <c r="H54" s="134">
        <v>15359.48</v>
      </c>
      <c r="I54" s="134">
        <v>14840.23</v>
      </c>
      <c r="J54" s="134">
        <v>932.91</v>
      </c>
      <c r="K54" s="134">
        <v>13246.32</v>
      </c>
      <c r="L54" s="134">
        <v>17545.830000000002</v>
      </c>
      <c r="M54" s="135">
        <v>20219.099999999999</v>
      </c>
      <c r="N54" s="134">
        <v>17069.11</v>
      </c>
      <c r="O54" s="133">
        <f>SUM(C54:N54)</f>
        <v>179729.30000000005</v>
      </c>
    </row>
    <row r="55" spans="2:15">
      <c r="B55" s="136" t="s">
        <v>827</v>
      </c>
      <c r="C55" s="134">
        <v>7883.87</v>
      </c>
      <c r="D55" s="135">
        <v>0</v>
      </c>
      <c r="E55" s="134">
        <v>0</v>
      </c>
      <c r="F55" s="134">
        <v>0</v>
      </c>
      <c r="G55" s="134">
        <v>0</v>
      </c>
      <c r="H55" s="134">
        <v>0</v>
      </c>
      <c r="I55" s="134">
        <v>0</v>
      </c>
      <c r="J55" s="134">
        <v>0</v>
      </c>
      <c r="K55" s="134">
        <v>0</v>
      </c>
      <c r="L55" s="134">
        <v>0</v>
      </c>
      <c r="M55" s="135">
        <v>0</v>
      </c>
      <c r="N55" s="134">
        <v>0</v>
      </c>
      <c r="O55" s="133">
        <f>SUM(C55:N55)</f>
        <v>7883.87</v>
      </c>
    </row>
    <row r="56" spans="2:15">
      <c r="B56" s="136" t="s">
        <v>826</v>
      </c>
      <c r="C56" s="134">
        <v>1598.65</v>
      </c>
      <c r="D56" s="135">
        <v>1326.86</v>
      </c>
      <c r="E56" s="134">
        <v>0</v>
      </c>
      <c r="F56" s="134">
        <v>0</v>
      </c>
      <c r="G56" s="134">
        <v>0</v>
      </c>
      <c r="H56" s="134">
        <v>0</v>
      </c>
      <c r="I56" s="134">
        <v>0</v>
      </c>
      <c r="J56" s="134">
        <v>0</v>
      </c>
      <c r="K56" s="134">
        <v>0</v>
      </c>
      <c r="L56" s="134">
        <v>0</v>
      </c>
      <c r="M56" s="135">
        <v>0</v>
      </c>
      <c r="N56" s="134">
        <v>0</v>
      </c>
      <c r="O56" s="133">
        <f>SUM(C56:N56)</f>
        <v>2925.51</v>
      </c>
    </row>
    <row r="57" spans="2:15">
      <c r="B57" s="136" t="s">
        <v>825</v>
      </c>
      <c r="C57" s="134">
        <v>0</v>
      </c>
      <c r="D57" s="135">
        <v>0</v>
      </c>
      <c r="E57" s="134">
        <v>0</v>
      </c>
      <c r="F57" s="134">
        <v>43.83</v>
      </c>
      <c r="G57" s="134">
        <v>0</v>
      </c>
      <c r="H57" s="134">
        <v>0</v>
      </c>
      <c r="I57" s="134">
        <v>0</v>
      </c>
      <c r="J57" s="134">
        <v>0</v>
      </c>
      <c r="K57" s="134">
        <v>0</v>
      </c>
      <c r="L57" s="134">
        <v>0</v>
      </c>
      <c r="M57" s="135">
        <v>0</v>
      </c>
      <c r="N57" s="134">
        <v>0</v>
      </c>
      <c r="O57" s="133">
        <f>SUM(C57:N57)</f>
        <v>43.83</v>
      </c>
    </row>
    <row r="58" spans="2:15" s="117" customFormat="1">
      <c r="B58" s="132" t="s">
        <v>824</v>
      </c>
      <c r="C58" s="130">
        <v>22007.599999999999</v>
      </c>
      <c r="D58" s="131">
        <v>26533.599999999999</v>
      </c>
      <c r="E58" s="130">
        <v>11967.38</v>
      </c>
      <c r="F58" s="130">
        <v>14784.99</v>
      </c>
      <c r="G58" s="130">
        <v>16075.96</v>
      </c>
      <c r="H58" s="130">
        <v>15359.48</v>
      </c>
      <c r="I58" s="130">
        <v>14840.23</v>
      </c>
      <c r="J58" s="130">
        <v>932.91</v>
      </c>
      <c r="K58" s="130">
        <v>13246.32</v>
      </c>
      <c r="L58" s="130">
        <v>17545.830000000002</v>
      </c>
      <c r="M58" s="131">
        <v>20219.099999999999</v>
      </c>
      <c r="N58" s="130">
        <v>17069.11</v>
      </c>
      <c r="O58" s="129">
        <f>SUM(C58:N58)</f>
        <v>190582.51</v>
      </c>
    </row>
    <row r="59" spans="2:15">
      <c r="B59" s="136"/>
      <c r="C59" s="134"/>
      <c r="D59" s="135"/>
      <c r="E59" s="134"/>
      <c r="F59" s="134"/>
      <c r="G59" s="134"/>
      <c r="H59" s="134"/>
      <c r="I59" s="134"/>
      <c r="J59" s="134"/>
      <c r="K59" s="134"/>
      <c r="L59" s="134"/>
      <c r="M59" s="135"/>
      <c r="N59" s="134"/>
      <c r="O59" s="133"/>
    </row>
    <row r="60" spans="2:15">
      <c r="B60" s="140" t="s">
        <v>821</v>
      </c>
      <c r="C60" s="142"/>
      <c r="D60" s="142"/>
      <c r="E60" s="142"/>
      <c r="F60" s="142"/>
      <c r="G60" s="142"/>
      <c r="H60" s="142"/>
      <c r="I60" s="142"/>
      <c r="J60" s="142"/>
      <c r="K60" s="142"/>
      <c r="L60" s="142"/>
      <c r="M60" s="142"/>
      <c r="N60" s="141"/>
      <c r="O60" s="141"/>
    </row>
    <row r="61" spans="2:15">
      <c r="B61" s="136" t="s">
        <v>823</v>
      </c>
      <c r="C61" s="134">
        <v>1117.74</v>
      </c>
      <c r="D61" s="135">
        <v>1128.5999999999999</v>
      </c>
      <c r="E61" s="134">
        <v>0</v>
      </c>
      <c r="F61" s="134">
        <v>0</v>
      </c>
      <c r="G61" s="134">
        <v>0</v>
      </c>
      <c r="H61" s="135">
        <v>0</v>
      </c>
      <c r="I61" s="134">
        <v>0</v>
      </c>
      <c r="J61" s="134">
        <v>0</v>
      </c>
      <c r="K61" s="134">
        <v>0</v>
      </c>
      <c r="L61" s="134">
        <v>0</v>
      </c>
      <c r="M61" s="135">
        <v>0</v>
      </c>
      <c r="N61" s="134">
        <v>0</v>
      </c>
      <c r="O61" s="133">
        <f>SUM(C61:N61)</f>
        <v>2246.34</v>
      </c>
    </row>
    <row r="62" spans="2:15">
      <c r="B62" s="136" t="s">
        <v>822</v>
      </c>
      <c r="C62" s="134">
        <v>175.53</v>
      </c>
      <c r="D62" s="135">
        <v>175.53</v>
      </c>
      <c r="E62" s="134">
        <v>362.37</v>
      </c>
      <c r="F62" s="134">
        <v>332.17</v>
      </c>
      <c r="G62" s="134">
        <v>340.53</v>
      </c>
      <c r="H62" s="135">
        <v>340.53</v>
      </c>
      <c r="I62" s="134">
        <v>175.53</v>
      </c>
      <c r="J62" s="134">
        <v>504.53</v>
      </c>
      <c r="K62" s="134">
        <v>340.53</v>
      </c>
      <c r="L62" s="134">
        <v>175.52</v>
      </c>
      <c r="M62" s="135">
        <v>175.53</v>
      </c>
      <c r="N62" s="134">
        <v>175.53</v>
      </c>
      <c r="O62" s="133">
        <f>SUM(C62:N62)</f>
        <v>3273.8300000000004</v>
      </c>
    </row>
    <row r="63" spans="2:15" s="117" customFormat="1">
      <c r="B63" s="132" t="s">
        <v>821</v>
      </c>
      <c r="C63" s="130">
        <v>1293.27</v>
      </c>
      <c r="D63" s="131">
        <v>1304.1300000000001</v>
      </c>
      <c r="E63" s="130">
        <v>362.37</v>
      </c>
      <c r="F63" s="130">
        <v>332.17</v>
      </c>
      <c r="G63" s="130">
        <v>340.53</v>
      </c>
      <c r="H63" s="131">
        <v>340.53</v>
      </c>
      <c r="I63" s="130">
        <v>175.53</v>
      </c>
      <c r="J63" s="130">
        <v>504.53</v>
      </c>
      <c r="K63" s="130">
        <v>340.53</v>
      </c>
      <c r="L63" s="130">
        <v>175.52</v>
      </c>
      <c r="M63" s="131">
        <v>175.53</v>
      </c>
      <c r="N63" s="130">
        <v>175.53</v>
      </c>
      <c r="O63" s="129">
        <f>SUM(C63:N63)</f>
        <v>5520.1699999999992</v>
      </c>
    </row>
    <row r="64" spans="2:15">
      <c r="B64" s="136"/>
      <c r="C64" s="134"/>
      <c r="D64" s="135"/>
      <c r="E64" s="134"/>
      <c r="F64" s="134"/>
      <c r="G64" s="134"/>
      <c r="H64" s="135"/>
      <c r="I64" s="134"/>
      <c r="J64" s="134"/>
      <c r="K64" s="134"/>
      <c r="L64" s="134"/>
      <c r="M64" s="135"/>
      <c r="N64" s="134"/>
      <c r="O64" s="133"/>
    </row>
    <row r="65" spans="2:15">
      <c r="B65" s="139" t="s">
        <v>813</v>
      </c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</row>
    <row r="66" spans="2:15">
      <c r="B66" s="136" t="s">
        <v>820</v>
      </c>
      <c r="C66" s="134">
        <v>0</v>
      </c>
      <c r="D66" s="135">
        <v>0</v>
      </c>
      <c r="E66" s="134">
        <v>0</v>
      </c>
      <c r="F66" s="134">
        <v>0</v>
      </c>
      <c r="G66" s="134">
        <v>0</v>
      </c>
      <c r="H66" s="135">
        <v>0</v>
      </c>
      <c r="I66" s="134">
        <v>0</v>
      </c>
      <c r="J66" s="134">
        <v>100.27</v>
      </c>
      <c r="K66" s="134">
        <v>0</v>
      </c>
      <c r="L66" s="134">
        <v>0</v>
      </c>
      <c r="M66" s="135">
        <v>0</v>
      </c>
      <c r="N66" s="134">
        <v>0</v>
      </c>
      <c r="O66" s="133">
        <f>SUM(C66:N66)</f>
        <v>100.27</v>
      </c>
    </row>
    <row r="67" spans="2:15">
      <c r="B67" s="136" t="s">
        <v>819</v>
      </c>
      <c r="C67" s="134">
        <v>0</v>
      </c>
      <c r="D67" s="135">
        <v>0</v>
      </c>
      <c r="E67" s="134">
        <v>0</v>
      </c>
      <c r="F67" s="134">
        <v>0</v>
      </c>
      <c r="G67" s="134">
        <v>0</v>
      </c>
      <c r="H67" s="135">
        <v>0</v>
      </c>
      <c r="I67" s="134">
        <v>0</v>
      </c>
      <c r="J67" s="134">
        <v>0</v>
      </c>
      <c r="K67" s="134">
        <v>0</v>
      </c>
      <c r="L67" s="134">
        <v>56.68</v>
      </c>
      <c r="M67" s="135">
        <v>0</v>
      </c>
      <c r="N67" s="134">
        <v>0</v>
      </c>
      <c r="O67" s="133">
        <f>SUM(C67:N67)</f>
        <v>56.68</v>
      </c>
    </row>
    <row r="68" spans="2:15">
      <c r="B68" s="136" t="s">
        <v>818</v>
      </c>
      <c r="C68" s="134">
        <v>0</v>
      </c>
      <c r="D68" s="135">
        <v>0</v>
      </c>
      <c r="E68" s="134">
        <v>0</v>
      </c>
      <c r="F68" s="134">
        <v>0</v>
      </c>
      <c r="G68" s="134">
        <v>0</v>
      </c>
      <c r="H68" s="135">
        <v>0</v>
      </c>
      <c r="I68" s="134">
        <v>0</v>
      </c>
      <c r="J68" s="134">
        <v>0</v>
      </c>
      <c r="K68" s="134">
        <v>231.1</v>
      </c>
      <c r="L68" s="134">
        <v>0</v>
      </c>
      <c r="M68" s="135">
        <v>0</v>
      </c>
      <c r="N68" s="134">
        <v>0</v>
      </c>
      <c r="O68" s="133">
        <f>SUM(C68:N68)</f>
        <v>231.1</v>
      </c>
    </row>
    <row r="69" spans="2:15">
      <c r="B69" s="136" t="s">
        <v>817</v>
      </c>
      <c r="C69" s="134">
        <v>0</v>
      </c>
      <c r="D69" s="135">
        <v>0</v>
      </c>
      <c r="E69" s="134">
        <v>0</v>
      </c>
      <c r="F69" s="134">
        <v>0</v>
      </c>
      <c r="G69" s="134">
        <v>0</v>
      </c>
      <c r="H69" s="135">
        <v>0</v>
      </c>
      <c r="I69" s="134">
        <v>0</v>
      </c>
      <c r="J69" s="134">
        <v>0</v>
      </c>
      <c r="K69" s="134">
        <v>0</v>
      </c>
      <c r="L69" s="134">
        <v>0</v>
      </c>
      <c r="M69" s="135">
        <v>126.54</v>
      </c>
      <c r="N69" s="134">
        <v>0</v>
      </c>
      <c r="O69" s="133">
        <f>SUM(C69:N69)</f>
        <v>126.54</v>
      </c>
    </row>
    <row r="70" spans="2:15">
      <c r="B70" s="136" t="s">
        <v>816</v>
      </c>
      <c r="C70" s="134">
        <v>0</v>
      </c>
      <c r="D70" s="135">
        <v>0</v>
      </c>
      <c r="E70" s="134">
        <v>64.400000000000006</v>
      </c>
      <c r="F70" s="134">
        <v>170.34</v>
      </c>
      <c r="G70" s="134">
        <v>59.31</v>
      </c>
      <c r="H70" s="135">
        <v>181.74</v>
      </c>
      <c r="I70" s="134">
        <v>0</v>
      </c>
      <c r="J70" s="134">
        <v>0</v>
      </c>
      <c r="K70" s="134">
        <v>60.6</v>
      </c>
      <c r="L70" s="134">
        <v>0</v>
      </c>
      <c r="M70" s="135">
        <v>0</v>
      </c>
      <c r="N70" s="134">
        <v>76.64</v>
      </c>
      <c r="O70" s="133">
        <f>SUM(C70:N70)</f>
        <v>613.03</v>
      </c>
    </row>
    <row r="71" spans="2:15">
      <c r="B71" s="136" t="s">
        <v>815</v>
      </c>
      <c r="C71" s="134">
        <v>155.27000000000001</v>
      </c>
      <c r="D71" s="135">
        <v>307.79000000000002</v>
      </c>
      <c r="E71" s="134">
        <v>2986.51</v>
      </c>
      <c r="F71" s="134">
        <v>2960.5</v>
      </c>
      <c r="G71" s="134">
        <v>1491.97</v>
      </c>
      <c r="H71" s="135">
        <v>828.08</v>
      </c>
      <c r="I71" s="134">
        <v>0</v>
      </c>
      <c r="J71" s="134">
        <v>80.06</v>
      </c>
      <c r="K71" s="134">
        <v>217.47</v>
      </c>
      <c r="L71" s="134">
        <v>441.51</v>
      </c>
      <c r="M71" s="135">
        <v>381.58</v>
      </c>
      <c r="N71" s="134">
        <v>539.69000000000005</v>
      </c>
      <c r="O71" s="133">
        <f>SUM(C71:N71)</f>
        <v>10390.43</v>
      </c>
    </row>
    <row r="72" spans="2:15">
      <c r="B72" s="136" t="s">
        <v>814</v>
      </c>
      <c r="C72" s="134">
        <v>0</v>
      </c>
      <c r="D72" s="135">
        <v>0</v>
      </c>
      <c r="E72" s="134">
        <v>0</v>
      </c>
      <c r="F72" s="134">
        <v>0</v>
      </c>
      <c r="G72" s="134">
        <v>0</v>
      </c>
      <c r="H72" s="135">
        <v>250</v>
      </c>
      <c r="I72" s="134">
        <v>0</v>
      </c>
      <c r="J72" s="134">
        <v>0</v>
      </c>
      <c r="K72" s="134">
        <v>0</v>
      </c>
      <c r="L72" s="134">
        <v>0</v>
      </c>
      <c r="M72" s="135">
        <v>0</v>
      </c>
      <c r="N72" s="134">
        <v>0</v>
      </c>
      <c r="O72" s="133">
        <f>SUM(C72:N72)</f>
        <v>250</v>
      </c>
    </row>
    <row r="73" spans="2:15" s="117" customFormat="1">
      <c r="B73" s="132" t="s">
        <v>813</v>
      </c>
      <c r="C73" s="130">
        <v>155.27000000000001</v>
      </c>
      <c r="D73" s="131">
        <v>307.79000000000002</v>
      </c>
      <c r="E73" s="130">
        <v>3050.91</v>
      </c>
      <c r="F73" s="130">
        <v>3130.84</v>
      </c>
      <c r="G73" s="130">
        <v>1551.28</v>
      </c>
      <c r="H73" s="131">
        <v>1259.82</v>
      </c>
      <c r="I73" s="130">
        <v>0</v>
      </c>
      <c r="J73" s="130">
        <v>180.33</v>
      </c>
      <c r="K73" s="130">
        <v>509.17</v>
      </c>
      <c r="L73" s="130">
        <v>498.19</v>
      </c>
      <c r="M73" s="131">
        <v>508.12</v>
      </c>
      <c r="N73" s="130">
        <v>616.33000000000004</v>
      </c>
      <c r="O73" s="129">
        <f>SUM(C73:N73)</f>
        <v>11768.050000000001</v>
      </c>
    </row>
    <row r="74" spans="2:15">
      <c r="B74" s="136"/>
      <c r="C74" s="134"/>
      <c r="D74" s="135"/>
      <c r="E74" s="134"/>
      <c r="F74" s="134"/>
      <c r="G74" s="134"/>
      <c r="H74" s="135"/>
      <c r="I74" s="134"/>
      <c r="J74" s="134"/>
      <c r="K74" s="134"/>
      <c r="L74" s="134"/>
      <c r="M74" s="135"/>
      <c r="N74" s="134"/>
      <c r="O74" s="133"/>
    </row>
    <row r="75" spans="2:15">
      <c r="B75" s="139" t="s">
        <v>811</v>
      </c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</row>
    <row r="76" spans="2:15">
      <c r="B76" s="136" t="s">
        <v>812</v>
      </c>
      <c r="C76" s="134">
        <v>10.98</v>
      </c>
      <c r="D76" s="135">
        <v>0</v>
      </c>
      <c r="E76" s="134">
        <v>15.96</v>
      </c>
      <c r="F76" s="134">
        <v>0</v>
      </c>
      <c r="G76" s="134">
        <v>153.87</v>
      </c>
      <c r="H76" s="135">
        <v>0</v>
      </c>
      <c r="I76" s="134">
        <v>0</v>
      </c>
      <c r="J76" s="134">
        <v>0</v>
      </c>
      <c r="K76" s="134">
        <v>0</v>
      </c>
      <c r="L76" s="134">
        <v>0</v>
      </c>
      <c r="M76" s="135">
        <v>0</v>
      </c>
      <c r="N76" s="134">
        <v>0</v>
      </c>
      <c r="O76" s="133">
        <f>SUM(C76:N76)</f>
        <v>180.81</v>
      </c>
    </row>
    <row r="77" spans="2:15" s="117" customFormat="1">
      <c r="B77" s="132" t="s">
        <v>811</v>
      </c>
      <c r="C77" s="130">
        <v>10.98</v>
      </c>
      <c r="D77" s="131">
        <v>0</v>
      </c>
      <c r="E77" s="130">
        <v>15.96</v>
      </c>
      <c r="F77" s="130">
        <v>0</v>
      </c>
      <c r="G77" s="130">
        <v>153.87</v>
      </c>
      <c r="H77" s="131">
        <v>0</v>
      </c>
      <c r="I77" s="130">
        <v>0</v>
      </c>
      <c r="J77" s="130">
        <v>0</v>
      </c>
      <c r="K77" s="130">
        <v>0</v>
      </c>
      <c r="L77" s="130">
        <v>0</v>
      </c>
      <c r="M77" s="131">
        <v>0</v>
      </c>
      <c r="N77" s="130">
        <v>0</v>
      </c>
      <c r="O77" s="129">
        <f>SUM(C77:N77)</f>
        <v>180.81</v>
      </c>
    </row>
    <row r="78" spans="2:15">
      <c r="B78" s="136"/>
      <c r="C78" s="134"/>
      <c r="D78" s="135"/>
      <c r="E78" s="134"/>
      <c r="F78" s="134"/>
      <c r="G78" s="134"/>
      <c r="H78" s="135"/>
      <c r="I78" s="134"/>
      <c r="J78" s="134"/>
      <c r="K78" s="134"/>
      <c r="L78" s="134"/>
      <c r="M78" s="135"/>
      <c r="N78" s="134"/>
      <c r="O78" s="133"/>
    </row>
    <row r="79" spans="2:15">
      <c r="B79" s="139" t="s">
        <v>798</v>
      </c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</row>
    <row r="80" spans="2:15">
      <c r="B80" s="136" t="s">
        <v>810</v>
      </c>
      <c r="C80" s="134">
        <v>0</v>
      </c>
      <c r="D80" s="135">
        <v>-5220.3900000000003</v>
      </c>
      <c r="E80" s="134">
        <v>0</v>
      </c>
      <c r="F80" s="134">
        <v>0</v>
      </c>
      <c r="G80" s="134">
        <v>0</v>
      </c>
      <c r="H80" s="135">
        <v>0</v>
      </c>
      <c r="I80" s="134">
        <v>0</v>
      </c>
      <c r="J80" s="134">
        <v>0</v>
      </c>
      <c r="K80" s="134">
        <v>0</v>
      </c>
      <c r="L80" s="134">
        <v>0</v>
      </c>
      <c r="M80" s="135">
        <v>0</v>
      </c>
      <c r="N80" s="134">
        <v>0</v>
      </c>
      <c r="O80" s="133">
        <f>SUM(C80:N80)</f>
        <v>-5220.3900000000003</v>
      </c>
    </row>
    <row r="81" spans="2:15">
      <c r="B81" s="136" t="s">
        <v>809</v>
      </c>
      <c r="C81" s="134">
        <v>0</v>
      </c>
      <c r="D81" s="135">
        <v>0</v>
      </c>
      <c r="E81" s="134">
        <v>0</v>
      </c>
      <c r="F81" s="134">
        <v>0</v>
      </c>
      <c r="G81" s="134">
        <v>531.11</v>
      </c>
      <c r="H81" s="135">
        <v>0</v>
      </c>
      <c r="I81" s="134">
        <v>0</v>
      </c>
      <c r="J81" s="134">
        <v>0</v>
      </c>
      <c r="K81" s="134">
        <v>0</v>
      </c>
      <c r="L81" s="134">
        <v>0</v>
      </c>
      <c r="M81" s="135">
        <v>0</v>
      </c>
      <c r="N81" s="134">
        <v>0</v>
      </c>
      <c r="O81" s="133">
        <f>SUM(C81:N81)</f>
        <v>531.11</v>
      </c>
    </row>
    <row r="82" spans="2:15">
      <c r="B82" s="136" t="s">
        <v>808</v>
      </c>
      <c r="C82" s="134">
        <v>0</v>
      </c>
      <c r="D82" s="135">
        <v>0</v>
      </c>
      <c r="E82" s="134">
        <v>0</v>
      </c>
      <c r="F82" s="134">
        <v>0</v>
      </c>
      <c r="G82" s="134">
        <v>0</v>
      </c>
      <c r="H82" s="135">
        <v>0</v>
      </c>
      <c r="I82" s="134">
        <v>0</v>
      </c>
      <c r="J82" s="134">
        <v>243.45</v>
      </c>
      <c r="K82" s="134">
        <v>0</v>
      </c>
      <c r="L82" s="134">
        <v>0</v>
      </c>
      <c r="M82" s="135">
        <v>0</v>
      </c>
      <c r="N82" s="134">
        <v>0</v>
      </c>
      <c r="O82" s="133">
        <f>SUM(C82:N82)</f>
        <v>243.45</v>
      </c>
    </row>
    <row r="83" spans="2:15">
      <c r="B83" s="136" t="s">
        <v>807</v>
      </c>
      <c r="C83" s="134">
        <v>0</v>
      </c>
      <c r="D83" s="135">
        <v>0</v>
      </c>
      <c r="E83" s="134">
        <v>0</v>
      </c>
      <c r="F83" s="134">
        <v>0</v>
      </c>
      <c r="G83" s="134">
        <v>0</v>
      </c>
      <c r="H83" s="135">
        <v>0</v>
      </c>
      <c r="I83" s="134">
        <v>0</v>
      </c>
      <c r="J83" s="134">
        <v>0</v>
      </c>
      <c r="K83" s="134">
        <v>0</v>
      </c>
      <c r="L83" s="134">
        <v>475.33</v>
      </c>
      <c r="M83" s="135">
        <v>0</v>
      </c>
      <c r="N83" s="134">
        <v>0</v>
      </c>
      <c r="O83" s="133">
        <f>SUM(C83:N83)</f>
        <v>475.33</v>
      </c>
    </row>
    <row r="84" spans="2:15">
      <c r="B84" s="136" t="s">
        <v>806</v>
      </c>
      <c r="C84" s="134">
        <v>0</v>
      </c>
      <c r="D84" s="135">
        <v>551.07000000000005</v>
      </c>
      <c r="E84" s="134">
        <v>0</v>
      </c>
      <c r="F84" s="134">
        <v>0</v>
      </c>
      <c r="G84" s="134">
        <v>0</v>
      </c>
      <c r="H84" s="135">
        <v>0</v>
      </c>
      <c r="I84" s="134">
        <v>0</v>
      </c>
      <c r="J84" s="134">
        <v>0</v>
      </c>
      <c r="K84" s="134">
        <v>0</v>
      </c>
      <c r="L84" s="134">
        <v>0</v>
      </c>
      <c r="M84" s="135">
        <v>0</v>
      </c>
      <c r="N84" s="134">
        <v>0</v>
      </c>
      <c r="O84" s="133">
        <f>SUM(C84:N84)</f>
        <v>551.07000000000005</v>
      </c>
    </row>
    <row r="85" spans="2:15">
      <c r="B85" s="136" t="s">
        <v>805</v>
      </c>
      <c r="C85" s="134">
        <v>0</v>
      </c>
      <c r="D85" s="135">
        <v>470.25</v>
      </c>
      <c r="E85" s="134">
        <v>452.25</v>
      </c>
      <c r="F85" s="134">
        <v>1074.8800000000001</v>
      </c>
      <c r="G85" s="134">
        <v>1753.36</v>
      </c>
      <c r="H85" s="135">
        <v>1100.6199999999999</v>
      </c>
      <c r="I85" s="134">
        <v>882.27</v>
      </c>
      <c r="J85" s="134">
        <v>1073.9000000000001</v>
      </c>
      <c r="K85" s="134">
        <v>531.05999999999995</v>
      </c>
      <c r="L85" s="134">
        <v>806.91</v>
      </c>
      <c r="M85" s="135">
        <v>133.74</v>
      </c>
      <c r="N85" s="134">
        <v>1226.06</v>
      </c>
      <c r="O85" s="133">
        <f>SUM(C85:N85)</f>
        <v>9505.2999999999975</v>
      </c>
    </row>
    <row r="86" spans="2:15">
      <c r="B86" s="136" t="s">
        <v>804</v>
      </c>
      <c r="C86" s="134">
        <v>155.38999999999999</v>
      </c>
      <c r="D86" s="135">
        <v>155.38999999999999</v>
      </c>
      <c r="E86" s="134">
        <v>155.38999999999999</v>
      </c>
      <c r="F86" s="134">
        <v>155.34</v>
      </c>
      <c r="G86" s="134">
        <v>155.53</v>
      </c>
      <c r="H86" s="135">
        <v>155.53</v>
      </c>
      <c r="I86" s="134">
        <v>155.66</v>
      </c>
      <c r="J86" s="134">
        <v>155.66</v>
      </c>
      <c r="K86" s="134">
        <v>155.66</v>
      </c>
      <c r="L86" s="134">
        <v>155.63</v>
      </c>
      <c r="M86" s="135">
        <v>155.63</v>
      </c>
      <c r="N86" s="134">
        <v>155.63</v>
      </c>
      <c r="O86" s="133">
        <f>SUM(C86:N86)</f>
        <v>1866.4400000000005</v>
      </c>
    </row>
    <row r="87" spans="2:15">
      <c r="B87" s="136" t="s">
        <v>803</v>
      </c>
      <c r="C87" s="134">
        <v>104.24</v>
      </c>
      <c r="D87" s="135">
        <v>67.48</v>
      </c>
      <c r="E87" s="134">
        <v>87.56</v>
      </c>
      <c r="F87" s="134">
        <v>52.16</v>
      </c>
      <c r="G87" s="134">
        <v>2754.02</v>
      </c>
      <c r="H87" s="135">
        <v>56.44</v>
      </c>
      <c r="I87" s="134">
        <v>51.44</v>
      </c>
      <c r="J87" s="134">
        <v>0</v>
      </c>
      <c r="K87" s="134">
        <v>41.4</v>
      </c>
      <c r="L87" s="134">
        <v>43.2</v>
      </c>
      <c r="M87" s="135">
        <v>80.400000000000006</v>
      </c>
      <c r="N87" s="134">
        <v>42</v>
      </c>
      <c r="O87" s="133">
        <f>SUM(C87:N87)</f>
        <v>3380.34</v>
      </c>
    </row>
    <row r="88" spans="2:15">
      <c r="B88" s="136" t="s">
        <v>802</v>
      </c>
      <c r="C88" s="134">
        <v>0</v>
      </c>
      <c r="D88" s="135">
        <v>0</v>
      </c>
      <c r="E88" s="134">
        <v>0</v>
      </c>
      <c r="F88" s="134">
        <v>296.79000000000002</v>
      </c>
      <c r="G88" s="134">
        <v>1606.79</v>
      </c>
      <c r="H88" s="135">
        <v>1383.45</v>
      </c>
      <c r="I88" s="134">
        <v>505.11</v>
      </c>
      <c r="J88" s="134">
        <v>631.46</v>
      </c>
      <c r="K88" s="134">
        <v>1669.27</v>
      </c>
      <c r="L88" s="134">
        <v>191.23</v>
      </c>
      <c r="M88" s="135">
        <v>0</v>
      </c>
      <c r="N88" s="134">
        <v>0</v>
      </c>
      <c r="O88" s="133">
        <f>SUM(C88:N88)</f>
        <v>6284.1</v>
      </c>
    </row>
    <row r="89" spans="2:15">
      <c r="B89" s="136" t="s">
        <v>801</v>
      </c>
      <c r="C89" s="134">
        <v>0</v>
      </c>
      <c r="D89" s="135">
        <v>0</v>
      </c>
      <c r="E89" s="134">
        <v>0</v>
      </c>
      <c r="F89" s="134">
        <v>0</v>
      </c>
      <c r="G89" s="134">
        <v>0</v>
      </c>
      <c r="H89" s="135">
        <v>0</v>
      </c>
      <c r="I89" s="134">
        <v>0</v>
      </c>
      <c r="J89" s="134">
        <v>0</v>
      </c>
      <c r="K89" s="134">
        <v>0</v>
      </c>
      <c r="L89" s="134">
        <v>22.19</v>
      </c>
      <c r="M89" s="135">
        <v>0</v>
      </c>
      <c r="N89" s="134">
        <v>0</v>
      </c>
      <c r="O89" s="133">
        <f>SUM(C89:N89)</f>
        <v>22.19</v>
      </c>
    </row>
    <row r="90" spans="2:15">
      <c r="B90" s="136" t="s">
        <v>800</v>
      </c>
      <c r="C90" s="134">
        <v>0</v>
      </c>
      <c r="D90" s="135">
        <v>0</v>
      </c>
      <c r="E90" s="134">
        <v>0</v>
      </c>
      <c r="F90" s="134">
        <v>0</v>
      </c>
      <c r="G90" s="134">
        <v>0</v>
      </c>
      <c r="H90" s="135">
        <v>0</v>
      </c>
      <c r="I90" s="134">
        <v>0</v>
      </c>
      <c r="J90" s="134">
        <v>0</v>
      </c>
      <c r="K90" s="134">
        <v>132.34</v>
      </c>
      <c r="L90" s="134">
        <v>0</v>
      </c>
      <c r="M90" s="135">
        <v>0</v>
      </c>
      <c r="N90" s="134">
        <v>0</v>
      </c>
      <c r="O90" s="133">
        <f>SUM(C90:N90)</f>
        <v>132.34</v>
      </c>
    </row>
    <row r="91" spans="2:15">
      <c r="B91" s="136" t="s">
        <v>799</v>
      </c>
      <c r="C91" s="134">
        <v>0</v>
      </c>
      <c r="D91" s="135">
        <v>0</v>
      </c>
      <c r="E91" s="134">
        <v>69.430000000000007</v>
      </c>
      <c r="F91" s="134">
        <v>205.45</v>
      </c>
      <c r="G91" s="134">
        <v>135.37</v>
      </c>
      <c r="H91" s="135">
        <v>362.32</v>
      </c>
      <c r="I91" s="134">
        <v>61.34</v>
      </c>
      <c r="J91" s="134">
        <v>180.35</v>
      </c>
      <c r="K91" s="134">
        <v>0</v>
      </c>
      <c r="L91" s="134">
        <v>0</v>
      </c>
      <c r="M91" s="135">
        <v>44.61</v>
      </c>
      <c r="N91" s="134">
        <v>28.53</v>
      </c>
      <c r="O91" s="133">
        <f>SUM(C91:N91)</f>
        <v>1087.3999999999999</v>
      </c>
    </row>
    <row r="92" spans="2:15" s="117" customFormat="1">
      <c r="B92" s="132" t="s">
        <v>798</v>
      </c>
      <c r="C92" s="130">
        <v>259.63</v>
      </c>
      <c r="D92" s="131">
        <v>-3976.2</v>
      </c>
      <c r="E92" s="130">
        <v>764.63</v>
      </c>
      <c r="F92" s="130">
        <v>1784.62</v>
      </c>
      <c r="G92" s="130">
        <v>6936.18</v>
      </c>
      <c r="H92" s="131">
        <v>3058.36</v>
      </c>
      <c r="I92" s="130">
        <v>1655.82</v>
      </c>
      <c r="J92" s="130">
        <v>2284.8200000000002</v>
      </c>
      <c r="K92" s="130">
        <v>2529.73</v>
      </c>
      <c r="L92" s="130">
        <v>1694.49</v>
      </c>
      <c r="M92" s="131">
        <v>414.38</v>
      </c>
      <c r="N92" s="130">
        <v>1452.22</v>
      </c>
      <c r="O92" s="129">
        <f>SUM(C92:N92)</f>
        <v>18858.680000000004</v>
      </c>
    </row>
    <row r="93" spans="2:15">
      <c r="B93" s="136"/>
      <c r="C93" s="134"/>
      <c r="D93" s="135"/>
      <c r="E93" s="134"/>
      <c r="F93" s="134"/>
      <c r="G93" s="134"/>
      <c r="H93" s="135"/>
      <c r="I93" s="134"/>
      <c r="J93" s="134"/>
      <c r="K93" s="134"/>
      <c r="L93" s="134"/>
      <c r="M93" s="135"/>
      <c r="N93" s="134"/>
      <c r="O93" s="133"/>
    </row>
    <row r="94" spans="2:15">
      <c r="B94" s="139" t="s">
        <v>796</v>
      </c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</row>
    <row r="95" spans="2:15">
      <c r="B95" s="136" t="s">
        <v>797</v>
      </c>
      <c r="C95" s="134">
        <v>11000</v>
      </c>
      <c r="D95" s="135">
        <v>22172.46</v>
      </c>
      <c r="E95" s="134">
        <v>12500</v>
      </c>
      <c r="F95" s="134">
        <v>11000</v>
      </c>
      <c r="G95" s="134">
        <v>9000</v>
      </c>
      <c r="H95" s="135">
        <v>10500</v>
      </c>
      <c r="I95" s="134">
        <v>9000</v>
      </c>
      <c r="J95" s="134">
        <v>8500</v>
      </c>
      <c r="K95" s="134">
        <v>11500</v>
      </c>
      <c r="L95" s="134">
        <v>8000</v>
      </c>
      <c r="M95" s="135">
        <v>8500</v>
      </c>
      <c r="N95" s="134">
        <v>10500</v>
      </c>
      <c r="O95" s="133">
        <f>SUM(C95:N95)</f>
        <v>132172.46</v>
      </c>
    </row>
    <row r="96" spans="2:15">
      <c r="B96" s="136" t="s">
        <v>796</v>
      </c>
      <c r="C96" s="134">
        <v>0</v>
      </c>
      <c r="D96" s="135">
        <v>0</v>
      </c>
      <c r="E96" s="134">
        <v>0</v>
      </c>
      <c r="F96" s="134">
        <v>0</v>
      </c>
      <c r="G96" s="134">
        <v>0</v>
      </c>
      <c r="H96" s="135">
        <v>0</v>
      </c>
      <c r="I96" s="134">
        <v>0</v>
      </c>
      <c r="J96" s="134">
        <v>0</v>
      </c>
      <c r="K96" s="134">
        <v>0</v>
      </c>
      <c r="L96" s="134">
        <v>1000</v>
      </c>
      <c r="M96" s="135">
        <v>0</v>
      </c>
      <c r="N96" s="134">
        <v>0</v>
      </c>
      <c r="O96" s="133">
        <f>SUM(C96:N96)</f>
        <v>1000</v>
      </c>
    </row>
    <row r="97" spans="2:15" s="117" customFormat="1">
      <c r="B97" s="132" t="s">
        <v>796</v>
      </c>
      <c r="C97" s="130">
        <v>11000</v>
      </c>
      <c r="D97" s="131">
        <v>22172.46</v>
      </c>
      <c r="E97" s="130">
        <v>12500</v>
      </c>
      <c r="F97" s="130">
        <v>11000</v>
      </c>
      <c r="G97" s="130">
        <v>9000</v>
      </c>
      <c r="H97" s="131">
        <v>10500</v>
      </c>
      <c r="I97" s="130">
        <v>9000</v>
      </c>
      <c r="J97" s="130">
        <v>8500</v>
      </c>
      <c r="K97" s="130">
        <v>11500</v>
      </c>
      <c r="L97" s="130">
        <v>9000</v>
      </c>
      <c r="M97" s="131">
        <v>8500</v>
      </c>
      <c r="N97" s="130">
        <v>10500</v>
      </c>
      <c r="O97" s="129">
        <f>SUM(C97:N97)</f>
        <v>133172.46</v>
      </c>
    </row>
    <row r="98" spans="2:15">
      <c r="B98" s="136"/>
      <c r="C98" s="134"/>
      <c r="D98" s="135"/>
      <c r="E98" s="134"/>
      <c r="F98" s="134"/>
      <c r="G98" s="134"/>
      <c r="H98" s="135"/>
      <c r="I98" s="134"/>
      <c r="J98" s="134"/>
      <c r="K98" s="134"/>
      <c r="L98" s="134"/>
      <c r="M98" s="135"/>
      <c r="N98" s="134"/>
      <c r="O98" s="133"/>
    </row>
    <row r="99" spans="2:15">
      <c r="B99" s="140" t="s">
        <v>794</v>
      </c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</row>
    <row r="100" spans="2:15">
      <c r="B100" s="136" t="s">
        <v>795</v>
      </c>
      <c r="C100" s="134">
        <v>0</v>
      </c>
      <c r="D100" s="135">
        <v>0</v>
      </c>
      <c r="E100" s="134">
        <v>0</v>
      </c>
      <c r="F100" s="134">
        <v>0</v>
      </c>
      <c r="G100" s="134">
        <v>0</v>
      </c>
      <c r="H100" s="135">
        <v>0</v>
      </c>
      <c r="I100" s="134">
        <v>0</v>
      </c>
      <c r="J100" s="134">
        <v>0</v>
      </c>
      <c r="K100" s="134">
        <v>161.69999999999999</v>
      </c>
      <c r="L100" s="134">
        <v>0</v>
      </c>
      <c r="M100" s="135">
        <v>0</v>
      </c>
      <c r="N100" s="134">
        <v>0</v>
      </c>
      <c r="O100" s="133">
        <f>SUM(C100:N100)</f>
        <v>161.69999999999999</v>
      </c>
    </row>
    <row r="101" spans="2:15" s="117" customFormat="1">
      <c r="B101" s="132" t="s">
        <v>794</v>
      </c>
      <c r="C101" s="130">
        <v>0</v>
      </c>
      <c r="D101" s="131">
        <v>0</v>
      </c>
      <c r="E101" s="130">
        <v>0</v>
      </c>
      <c r="F101" s="130">
        <v>0</v>
      </c>
      <c r="G101" s="130">
        <v>0</v>
      </c>
      <c r="H101" s="131">
        <v>0</v>
      </c>
      <c r="I101" s="130">
        <v>0</v>
      </c>
      <c r="J101" s="130">
        <v>0</v>
      </c>
      <c r="K101" s="130">
        <v>161.69999999999999</v>
      </c>
      <c r="L101" s="130">
        <v>0</v>
      </c>
      <c r="M101" s="131">
        <v>0</v>
      </c>
      <c r="N101" s="130">
        <v>0</v>
      </c>
      <c r="O101" s="129">
        <f>SUM(C101:N101)</f>
        <v>161.69999999999999</v>
      </c>
    </row>
    <row r="102" spans="2:15">
      <c r="B102" s="136"/>
      <c r="C102" s="134"/>
      <c r="D102" s="135"/>
      <c r="E102" s="134"/>
      <c r="F102" s="134"/>
      <c r="G102" s="134"/>
      <c r="H102" s="135"/>
      <c r="I102" s="134"/>
      <c r="J102" s="134"/>
      <c r="K102" s="134"/>
      <c r="L102" s="134"/>
      <c r="M102" s="135"/>
      <c r="N102" s="134"/>
      <c r="O102" s="133"/>
    </row>
    <row r="103" spans="2:15">
      <c r="B103" s="139" t="s">
        <v>792</v>
      </c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</row>
    <row r="104" spans="2:15">
      <c r="B104" s="136" t="s">
        <v>793</v>
      </c>
      <c r="C104" s="134">
        <v>5586.23</v>
      </c>
      <c r="D104" s="135">
        <v>0</v>
      </c>
      <c r="E104" s="134">
        <v>7086.23</v>
      </c>
      <c r="F104" s="134">
        <v>0</v>
      </c>
      <c r="G104" s="134">
        <v>0</v>
      </c>
      <c r="H104" s="135">
        <v>0</v>
      </c>
      <c r="I104" s="134">
        <v>0</v>
      </c>
      <c r="J104" s="134">
        <v>5586.23</v>
      </c>
      <c r="K104" s="134">
        <v>5586.23</v>
      </c>
      <c r="L104" s="134">
        <v>17504.79</v>
      </c>
      <c r="M104" s="135">
        <v>0</v>
      </c>
      <c r="N104" s="134">
        <v>12660</v>
      </c>
      <c r="O104" s="133">
        <f>SUM(C104:N104)</f>
        <v>54009.71</v>
      </c>
    </row>
    <row r="105" spans="2:15" s="117" customFormat="1">
      <c r="B105" s="132" t="s">
        <v>792</v>
      </c>
      <c r="C105" s="130">
        <v>5586.23</v>
      </c>
      <c r="D105" s="131">
        <v>0</v>
      </c>
      <c r="E105" s="130">
        <v>7086.23</v>
      </c>
      <c r="F105" s="130">
        <v>0</v>
      </c>
      <c r="G105" s="130">
        <v>0</v>
      </c>
      <c r="H105" s="131">
        <v>0</v>
      </c>
      <c r="I105" s="130">
        <v>0</v>
      </c>
      <c r="J105" s="130">
        <v>5586.23</v>
      </c>
      <c r="K105" s="130">
        <v>5586.23</v>
      </c>
      <c r="L105" s="130">
        <v>17504.79</v>
      </c>
      <c r="M105" s="131">
        <v>0</v>
      </c>
      <c r="N105" s="130">
        <v>12660</v>
      </c>
      <c r="O105" s="129">
        <f>SUM(C105:N105)</f>
        <v>54009.71</v>
      </c>
    </row>
    <row r="106" spans="2:15">
      <c r="B106" s="136"/>
      <c r="C106" s="134"/>
      <c r="D106" s="135"/>
      <c r="E106" s="134"/>
      <c r="F106" s="134"/>
      <c r="G106" s="134"/>
      <c r="H106" s="135"/>
      <c r="I106" s="134"/>
      <c r="J106" s="134"/>
      <c r="K106" s="134"/>
      <c r="L106" s="134"/>
      <c r="M106" s="135"/>
      <c r="N106" s="134"/>
      <c r="O106" s="133"/>
    </row>
    <row r="107" spans="2:15">
      <c r="B107" s="139" t="s">
        <v>787</v>
      </c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</row>
    <row r="108" spans="2:15">
      <c r="B108" s="136" t="s">
        <v>791</v>
      </c>
      <c r="C108" s="134">
        <v>0</v>
      </c>
      <c r="D108" s="135">
        <v>0</v>
      </c>
      <c r="E108" s="134">
        <v>0</v>
      </c>
      <c r="F108" s="134">
        <v>0</v>
      </c>
      <c r="G108" s="134">
        <v>90.93</v>
      </c>
      <c r="H108" s="135">
        <v>0</v>
      </c>
      <c r="I108" s="134">
        <v>0</v>
      </c>
      <c r="J108" s="134">
        <v>0</v>
      </c>
      <c r="K108" s="134">
        <v>0</v>
      </c>
      <c r="L108" s="134">
        <v>0</v>
      </c>
      <c r="M108" s="135">
        <v>0</v>
      </c>
      <c r="N108" s="134">
        <v>0</v>
      </c>
      <c r="O108" s="133">
        <f>SUM(C108:N108)</f>
        <v>90.93</v>
      </c>
    </row>
    <row r="109" spans="2:15">
      <c r="B109" s="136" t="s">
        <v>790</v>
      </c>
      <c r="C109" s="134">
        <v>942.62</v>
      </c>
      <c r="D109" s="135">
        <v>1415.73</v>
      </c>
      <c r="E109" s="134">
        <v>1662.07</v>
      </c>
      <c r="F109" s="134">
        <v>1217.43</v>
      </c>
      <c r="G109" s="134">
        <v>176.43</v>
      </c>
      <c r="H109" s="135">
        <v>151.21</v>
      </c>
      <c r="I109" s="134">
        <v>142.08000000000001</v>
      </c>
      <c r="J109" s="134">
        <v>183.73</v>
      </c>
      <c r="K109" s="134">
        <v>239.4</v>
      </c>
      <c r="L109" s="134">
        <v>2888.9</v>
      </c>
      <c r="M109" s="135">
        <v>1341.52</v>
      </c>
      <c r="N109" s="134">
        <v>1343.76</v>
      </c>
      <c r="O109" s="133">
        <f>SUM(C109:N109)</f>
        <v>11704.880000000001</v>
      </c>
    </row>
    <row r="110" spans="2:15">
      <c r="B110" s="136" t="s">
        <v>789</v>
      </c>
      <c r="C110" s="134">
        <v>0</v>
      </c>
      <c r="D110" s="135">
        <v>0</v>
      </c>
      <c r="E110" s="134">
        <v>0</v>
      </c>
      <c r="F110" s="134">
        <v>0</v>
      </c>
      <c r="G110" s="134">
        <v>0</v>
      </c>
      <c r="H110" s="135">
        <v>0</v>
      </c>
      <c r="I110" s="134">
        <v>0</v>
      </c>
      <c r="J110" s="134">
        <v>71.239999999999995</v>
      </c>
      <c r="K110" s="134">
        <v>0</v>
      </c>
      <c r="L110" s="134">
        <v>0</v>
      </c>
      <c r="M110" s="135">
        <v>0</v>
      </c>
      <c r="N110" s="134">
        <v>0</v>
      </c>
      <c r="O110" s="133">
        <f>SUM(C110:N110)</f>
        <v>71.239999999999995</v>
      </c>
    </row>
    <row r="111" spans="2:15">
      <c r="B111" s="136" t="s">
        <v>788</v>
      </c>
      <c r="C111" s="134">
        <v>0</v>
      </c>
      <c r="D111" s="135">
        <v>0</v>
      </c>
      <c r="E111" s="134">
        <v>65.47</v>
      </c>
      <c r="F111" s="134">
        <v>168.21</v>
      </c>
      <c r="G111" s="134">
        <v>0</v>
      </c>
      <c r="H111" s="135">
        <v>0</v>
      </c>
      <c r="I111" s="134">
        <v>0</v>
      </c>
      <c r="J111" s="134">
        <v>0</v>
      </c>
      <c r="K111" s="134">
        <v>0</v>
      </c>
      <c r="L111" s="134">
        <v>0</v>
      </c>
      <c r="M111" s="135">
        <v>0</v>
      </c>
      <c r="N111" s="134">
        <v>0</v>
      </c>
      <c r="O111" s="133">
        <f>SUM(C111:N111)</f>
        <v>233.68</v>
      </c>
    </row>
    <row r="112" spans="2:15" s="117" customFormat="1">
      <c r="B112" s="132" t="s">
        <v>787</v>
      </c>
      <c r="C112" s="130">
        <v>942.62</v>
      </c>
      <c r="D112" s="131">
        <v>1415.73</v>
      </c>
      <c r="E112" s="130">
        <v>1727.54</v>
      </c>
      <c r="F112" s="130">
        <v>1385.64</v>
      </c>
      <c r="G112" s="130">
        <v>267.36</v>
      </c>
      <c r="H112" s="131">
        <v>151.21</v>
      </c>
      <c r="I112" s="130">
        <v>142.08000000000001</v>
      </c>
      <c r="J112" s="130">
        <v>254.97</v>
      </c>
      <c r="K112" s="130">
        <v>239.4</v>
      </c>
      <c r="L112" s="130">
        <v>2888.9</v>
      </c>
      <c r="M112" s="131">
        <v>1341.52</v>
      </c>
      <c r="N112" s="130">
        <v>1343.76</v>
      </c>
      <c r="O112" s="129">
        <f>SUM(C112:N112)</f>
        <v>12100.73</v>
      </c>
    </row>
    <row r="113" spans="2:16">
      <c r="B113" s="136"/>
      <c r="C113" s="134"/>
      <c r="D113" s="135"/>
      <c r="E113" s="134"/>
      <c r="F113" s="134"/>
      <c r="G113" s="134"/>
      <c r="H113" s="135"/>
      <c r="I113" s="134"/>
      <c r="J113" s="134"/>
      <c r="K113" s="134"/>
      <c r="L113" s="134"/>
      <c r="M113" s="135"/>
      <c r="N113" s="134"/>
      <c r="O113" s="133"/>
    </row>
    <row r="114" spans="2:16" s="117" customFormat="1">
      <c r="B114" s="132" t="s">
        <v>786</v>
      </c>
      <c r="C114" s="130">
        <v>102126.13</v>
      </c>
      <c r="D114" s="131">
        <v>111590.46</v>
      </c>
      <c r="E114" s="130">
        <v>75224.78</v>
      </c>
      <c r="F114" s="130">
        <v>117370.21</v>
      </c>
      <c r="G114" s="130">
        <v>118031.83</v>
      </c>
      <c r="H114" s="131">
        <v>92971.6</v>
      </c>
      <c r="I114" s="130">
        <v>83400.25</v>
      </c>
      <c r="J114" s="130">
        <v>81305.710000000006</v>
      </c>
      <c r="K114" s="130">
        <v>95377.57</v>
      </c>
      <c r="L114" s="130">
        <v>113544.57</v>
      </c>
      <c r="M114" s="131">
        <v>88499.72</v>
      </c>
      <c r="N114" s="130">
        <v>101255.95</v>
      </c>
      <c r="O114" s="129">
        <f>SUM(C114:N114)</f>
        <v>1180698.78</v>
      </c>
      <c r="P114" s="137"/>
    </row>
    <row r="115" spans="2:16">
      <c r="B115" s="136"/>
      <c r="C115" s="134"/>
      <c r="D115" s="135"/>
      <c r="E115" s="134"/>
      <c r="F115" s="134"/>
      <c r="G115" s="134"/>
      <c r="H115" s="135"/>
      <c r="I115" s="134"/>
      <c r="J115" s="134"/>
      <c r="K115" s="134"/>
      <c r="L115" s="134"/>
      <c r="M115" s="135"/>
      <c r="N115" s="134"/>
      <c r="O115" s="133"/>
    </row>
    <row r="116" spans="2:16" s="117" customFormat="1">
      <c r="B116" s="132" t="s">
        <v>785</v>
      </c>
      <c r="C116" s="130">
        <v>44514.06</v>
      </c>
      <c r="D116" s="131">
        <v>50139.87</v>
      </c>
      <c r="E116" s="130">
        <v>51799.91</v>
      </c>
      <c r="F116" s="130">
        <v>-840.27</v>
      </c>
      <c r="G116" s="130">
        <v>3389.19</v>
      </c>
      <c r="H116" s="131">
        <v>33055.919999999998</v>
      </c>
      <c r="I116" s="130">
        <v>38215.050000000003</v>
      </c>
      <c r="J116" s="130">
        <v>44556.78</v>
      </c>
      <c r="K116" s="130">
        <v>30098.65</v>
      </c>
      <c r="L116" s="130">
        <v>1557.27</v>
      </c>
      <c r="M116" s="131">
        <v>32325.37</v>
      </c>
      <c r="N116" s="130">
        <v>24765.200000000001</v>
      </c>
      <c r="O116" s="129">
        <f>SUM(C116:N116)</f>
        <v>353577.00000000006</v>
      </c>
    </row>
    <row r="117" spans="2:16">
      <c r="B117" s="136"/>
      <c r="C117" s="134"/>
      <c r="D117" s="135"/>
      <c r="E117" s="134"/>
      <c r="F117" s="134"/>
      <c r="G117" s="134"/>
      <c r="H117" s="135"/>
      <c r="I117" s="134"/>
      <c r="J117" s="134"/>
      <c r="K117" s="134"/>
      <c r="L117" s="134"/>
      <c r="M117" s="135"/>
      <c r="N117" s="134"/>
      <c r="O117" s="133"/>
      <c r="P117" s="128"/>
    </row>
    <row r="118" spans="2:16">
      <c r="B118" s="132" t="s">
        <v>784</v>
      </c>
      <c r="C118" s="130">
        <v>44514.06</v>
      </c>
      <c r="D118" s="131">
        <v>50139.87</v>
      </c>
      <c r="E118" s="130">
        <v>51799.91</v>
      </c>
      <c r="F118" s="130">
        <v>-840.27</v>
      </c>
      <c r="G118" s="130">
        <v>3389.19</v>
      </c>
      <c r="H118" s="131">
        <v>33055.919999999998</v>
      </c>
      <c r="I118" s="130">
        <v>38215.050000000003</v>
      </c>
      <c r="J118" s="130">
        <v>44556.78</v>
      </c>
      <c r="K118" s="130">
        <v>30098.65</v>
      </c>
      <c r="L118" s="130">
        <v>1557.27</v>
      </c>
      <c r="M118" s="131">
        <v>32325.37</v>
      </c>
      <c r="N118" s="130">
        <v>24765.200000000001</v>
      </c>
      <c r="O118" s="129">
        <f>SUM(C118:N118)</f>
        <v>353577.00000000006</v>
      </c>
      <c r="P118" s="128"/>
    </row>
    <row r="119" spans="2:16">
      <c r="B119" s="124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</row>
    <row r="120" spans="2:16">
      <c r="B120" s="126" t="s">
        <v>783</v>
      </c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</row>
    <row r="121" spans="2:16">
      <c r="B121" s="124" t="str">
        <f>+B94</f>
        <v>Ownership Expenses</v>
      </c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</row>
    <row r="122" spans="2:16">
      <c r="B122" s="124" t="str">
        <f>+B95</f>
        <v>Owner Payout</v>
      </c>
      <c r="C122" s="120">
        <f>+C95</f>
        <v>11000</v>
      </c>
      <c r="D122" s="120">
        <f>+D95</f>
        <v>22172.46</v>
      </c>
      <c r="E122" s="120">
        <f>+E95</f>
        <v>12500</v>
      </c>
      <c r="F122" s="120">
        <f>+F95</f>
        <v>11000</v>
      </c>
      <c r="G122" s="120">
        <f>+G95</f>
        <v>9000</v>
      </c>
      <c r="H122" s="120">
        <f>+H95</f>
        <v>10500</v>
      </c>
      <c r="I122" s="120">
        <f>+I95</f>
        <v>9000</v>
      </c>
      <c r="J122" s="120">
        <f>+J95</f>
        <v>8500</v>
      </c>
      <c r="K122" s="120">
        <f>+K95</f>
        <v>11500</v>
      </c>
      <c r="L122" s="120">
        <f>+L95</f>
        <v>8000</v>
      </c>
      <c r="M122" s="120">
        <f>+M95</f>
        <v>8500</v>
      </c>
      <c r="N122" s="120">
        <f>+N95</f>
        <v>10500</v>
      </c>
      <c r="O122" s="120">
        <f>+O95</f>
        <v>132172.46</v>
      </c>
    </row>
    <row r="123" spans="2:16">
      <c r="B123" s="124" t="str">
        <f>+B96</f>
        <v>Ownership Expenses</v>
      </c>
      <c r="C123" s="120">
        <f>+C96</f>
        <v>0</v>
      </c>
      <c r="D123" s="120">
        <f>+D96</f>
        <v>0</v>
      </c>
      <c r="E123" s="120">
        <f>+E96</f>
        <v>0</v>
      </c>
      <c r="F123" s="120">
        <f>+F96</f>
        <v>0</v>
      </c>
      <c r="G123" s="120">
        <f>+G96</f>
        <v>0</v>
      </c>
      <c r="H123" s="120">
        <f>+H96</f>
        <v>0</v>
      </c>
      <c r="I123" s="120">
        <f>+I96</f>
        <v>0</v>
      </c>
      <c r="J123" s="120">
        <f>+J96</f>
        <v>0</v>
      </c>
      <c r="K123" s="120">
        <f>+K96</f>
        <v>0</v>
      </c>
      <c r="L123" s="120">
        <f>+L96</f>
        <v>1000</v>
      </c>
      <c r="M123" s="120">
        <f>+M96</f>
        <v>0</v>
      </c>
      <c r="N123" s="120">
        <f>+N96</f>
        <v>0</v>
      </c>
      <c r="O123" s="120">
        <f>+O96</f>
        <v>1000</v>
      </c>
    </row>
    <row r="124" spans="2:16" s="117" customFormat="1">
      <c r="B124" s="121" t="str">
        <f>+B97</f>
        <v>Ownership Expenses</v>
      </c>
      <c r="C124" s="127">
        <f>+C97</f>
        <v>11000</v>
      </c>
      <c r="D124" s="127">
        <f>+D97</f>
        <v>22172.46</v>
      </c>
      <c r="E124" s="127">
        <f>+E97</f>
        <v>12500</v>
      </c>
      <c r="F124" s="127">
        <f>+F97</f>
        <v>11000</v>
      </c>
      <c r="G124" s="127">
        <f>+G97</f>
        <v>9000</v>
      </c>
      <c r="H124" s="127">
        <f>+H97</f>
        <v>10500</v>
      </c>
      <c r="I124" s="127">
        <f>+I97</f>
        <v>9000</v>
      </c>
      <c r="J124" s="127">
        <f>+J97</f>
        <v>8500</v>
      </c>
      <c r="K124" s="127">
        <f>+K97</f>
        <v>11500</v>
      </c>
      <c r="L124" s="127">
        <f>+L97</f>
        <v>9000</v>
      </c>
      <c r="M124" s="127">
        <f>+M97</f>
        <v>8500</v>
      </c>
      <c r="N124" s="127">
        <f>+N97</f>
        <v>10500</v>
      </c>
      <c r="O124" s="127">
        <f>+O97</f>
        <v>133172.46</v>
      </c>
    </row>
    <row r="125" spans="2:16">
      <c r="B125" s="124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</row>
    <row r="126" spans="2:16">
      <c r="B126" s="124" t="str">
        <f>+B107</f>
        <v>Capital Expenses</v>
      </c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</row>
    <row r="127" spans="2:16">
      <c r="B127" s="124" t="str">
        <f>+B108</f>
        <v>Cap-Ex Flooring</v>
      </c>
      <c r="C127" s="120">
        <f>+C108</f>
        <v>0</v>
      </c>
      <c r="D127" s="120">
        <f>+D108</f>
        <v>0</v>
      </c>
      <c r="E127" s="120">
        <f>+E108</f>
        <v>0</v>
      </c>
      <c r="F127" s="120">
        <f>+F108</f>
        <v>0</v>
      </c>
      <c r="G127" s="120">
        <f>+G108</f>
        <v>90.93</v>
      </c>
      <c r="H127" s="120">
        <f>+H108</f>
        <v>0</v>
      </c>
      <c r="I127" s="120">
        <f>+I108</f>
        <v>0</v>
      </c>
      <c r="J127" s="120">
        <f>+J108</f>
        <v>0</v>
      </c>
      <c r="K127" s="120">
        <f>+K108</f>
        <v>0</v>
      </c>
      <c r="L127" s="120">
        <f>+L108</f>
        <v>0</v>
      </c>
      <c r="M127" s="120">
        <f>+M108</f>
        <v>0</v>
      </c>
      <c r="N127" s="120">
        <f>+N108</f>
        <v>0</v>
      </c>
      <c r="O127" s="120">
        <f>+O108</f>
        <v>90.93</v>
      </c>
    </row>
    <row r="128" spans="2:16">
      <c r="B128" s="124" t="str">
        <f>+B109</f>
        <v>CapEx-Computer Equipment &amp; Software</v>
      </c>
      <c r="C128" s="120">
        <f>+C109</f>
        <v>942.62</v>
      </c>
      <c r="D128" s="120">
        <f>+D109</f>
        <v>1415.73</v>
      </c>
      <c r="E128" s="120">
        <f>+E109</f>
        <v>1662.07</v>
      </c>
      <c r="F128" s="120">
        <f>+F109</f>
        <v>1217.43</v>
      </c>
      <c r="G128" s="120">
        <f>+G109</f>
        <v>176.43</v>
      </c>
      <c r="H128" s="120">
        <f>+H109</f>
        <v>151.21</v>
      </c>
      <c r="I128" s="120">
        <f>+I109</f>
        <v>142.08000000000001</v>
      </c>
      <c r="J128" s="120">
        <f>+J109</f>
        <v>183.73</v>
      </c>
      <c r="K128" s="120">
        <f>+K109</f>
        <v>239.4</v>
      </c>
      <c r="L128" s="120">
        <f>+L109</f>
        <v>2888.9</v>
      </c>
      <c r="M128" s="120">
        <f>+M109</f>
        <v>1341.52</v>
      </c>
      <c r="N128" s="120">
        <f>+N109</f>
        <v>1343.76</v>
      </c>
      <c r="O128" s="120">
        <f>+O109</f>
        <v>11704.880000000001</v>
      </c>
    </row>
    <row r="129" spans="2:15">
      <c r="B129" s="124" t="str">
        <f>+B110</f>
        <v>CapEx-HVAC</v>
      </c>
      <c r="C129" s="120">
        <f>+C110</f>
        <v>0</v>
      </c>
      <c r="D129" s="120">
        <f>+D110</f>
        <v>0</v>
      </c>
      <c r="E129" s="120">
        <f>+E110</f>
        <v>0</v>
      </c>
      <c r="F129" s="120">
        <f>+F110</f>
        <v>0</v>
      </c>
      <c r="G129" s="120">
        <f>+G110</f>
        <v>0</v>
      </c>
      <c r="H129" s="120">
        <f>+H110</f>
        <v>0</v>
      </c>
      <c r="I129" s="120">
        <f>+I110</f>
        <v>0</v>
      </c>
      <c r="J129" s="120">
        <f>+J110</f>
        <v>71.239999999999995</v>
      </c>
      <c r="K129" s="120">
        <f>+K110</f>
        <v>0</v>
      </c>
      <c r="L129" s="120">
        <f>+L110</f>
        <v>0</v>
      </c>
      <c r="M129" s="120">
        <f>+M110</f>
        <v>0</v>
      </c>
      <c r="N129" s="120">
        <f>+N110</f>
        <v>0</v>
      </c>
      <c r="O129" s="120">
        <f>+O110</f>
        <v>71.239999999999995</v>
      </c>
    </row>
    <row r="130" spans="2:15">
      <c r="B130" s="124" t="str">
        <f>+B111</f>
        <v>CapEx-Miscellaneous Expense</v>
      </c>
      <c r="C130" s="120">
        <f>+C111</f>
        <v>0</v>
      </c>
      <c r="D130" s="120">
        <f>+D111</f>
        <v>0</v>
      </c>
      <c r="E130" s="120">
        <f>+E111</f>
        <v>65.47</v>
      </c>
      <c r="F130" s="120">
        <f>+F111</f>
        <v>168.21</v>
      </c>
      <c r="G130" s="120">
        <f>+G111</f>
        <v>0</v>
      </c>
      <c r="H130" s="120">
        <f>+H111</f>
        <v>0</v>
      </c>
      <c r="I130" s="120">
        <f>+I111</f>
        <v>0</v>
      </c>
      <c r="J130" s="120">
        <f>+J111</f>
        <v>0</v>
      </c>
      <c r="K130" s="120">
        <f>+K111</f>
        <v>0</v>
      </c>
      <c r="L130" s="120">
        <f>+L111</f>
        <v>0</v>
      </c>
      <c r="M130" s="120">
        <f>+M111</f>
        <v>0</v>
      </c>
      <c r="N130" s="120">
        <f>+N111</f>
        <v>0</v>
      </c>
      <c r="O130" s="120">
        <f>+O111</f>
        <v>233.68</v>
      </c>
    </row>
    <row r="131" spans="2:15" s="117" customFormat="1">
      <c r="B131" s="121" t="str">
        <f>+B112</f>
        <v>Capital Expenses</v>
      </c>
      <c r="C131" s="127">
        <f>+C112</f>
        <v>942.62</v>
      </c>
      <c r="D131" s="127">
        <f>+D112</f>
        <v>1415.73</v>
      </c>
      <c r="E131" s="127">
        <f>+E112</f>
        <v>1727.54</v>
      </c>
      <c r="F131" s="127">
        <f>+F112</f>
        <v>1385.64</v>
      </c>
      <c r="G131" s="127">
        <f>+G112</f>
        <v>267.36</v>
      </c>
      <c r="H131" s="127">
        <f>+H112</f>
        <v>151.21</v>
      </c>
      <c r="I131" s="127">
        <f>+I112</f>
        <v>142.08000000000001</v>
      </c>
      <c r="J131" s="127">
        <f>+J112</f>
        <v>254.97</v>
      </c>
      <c r="K131" s="127">
        <f>+K112</f>
        <v>239.4</v>
      </c>
      <c r="L131" s="127">
        <f>+L112</f>
        <v>2888.9</v>
      </c>
      <c r="M131" s="127">
        <f>+M112</f>
        <v>1341.52</v>
      </c>
      <c r="N131" s="127">
        <f>+N112</f>
        <v>1343.76</v>
      </c>
      <c r="O131" s="127">
        <f>+O112</f>
        <v>12100.73</v>
      </c>
    </row>
    <row r="132" spans="2:15">
      <c r="B132" s="124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</row>
    <row r="133" spans="2:15">
      <c r="B133" s="124" t="str">
        <f>+B37</f>
        <v>Mortgage</v>
      </c>
      <c r="C133" s="120">
        <f>+C37</f>
        <v>41985.09</v>
      </c>
      <c r="D133" s="120">
        <f>+D37</f>
        <v>41985.09</v>
      </c>
      <c r="E133" s="120">
        <f>+E37</f>
        <v>0</v>
      </c>
      <c r="F133" s="120">
        <f>+F37</f>
        <v>41915</v>
      </c>
      <c r="G133" s="120">
        <f>+G37</f>
        <v>41915.18</v>
      </c>
      <c r="H133" s="120">
        <f>+H37</f>
        <v>41915</v>
      </c>
      <c r="I133" s="120">
        <f>+I37</f>
        <v>41015</v>
      </c>
      <c r="J133" s="120">
        <f>+J37</f>
        <v>41915.089999999997</v>
      </c>
      <c r="K133" s="120">
        <f>+K37</f>
        <v>41915.089999999997</v>
      </c>
      <c r="L133" s="120">
        <f>+L37</f>
        <v>41915.089999999997</v>
      </c>
      <c r="M133" s="120">
        <f>+M37</f>
        <v>41915.089999999997</v>
      </c>
      <c r="N133" s="120">
        <f>+N37</f>
        <v>41915.089999999997</v>
      </c>
      <c r="O133" s="120">
        <f>+O37</f>
        <v>460305.80999999982</v>
      </c>
    </row>
    <row r="134" spans="2:15">
      <c r="B134" s="121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</row>
    <row r="135" spans="2:15" s="117" customFormat="1">
      <c r="B135" s="123" t="s">
        <v>782</v>
      </c>
      <c r="C135" s="122">
        <f>+C124+C131+C133</f>
        <v>53927.71</v>
      </c>
      <c r="D135" s="122">
        <f>+D124+D131+D133</f>
        <v>65573.279999999999</v>
      </c>
      <c r="E135" s="122">
        <f>+E124+E131+E133</f>
        <v>14227.54</v>
      </c>
      <c r="F135" s="122">
        <f>+F124+F131+F133</f>
        <v>54300.639999999999</v>
      </c>
      <c r="G135" s="122">
        <f>+G124+G131+G133</f>
        <v>51182.54</v>
      </c>
      <c r="H135" s="122">
        <f>+H124+H131+H133</f>
        <v>52566.21</v>
      </c>
      <c r="I135" s="122">
        <f>+I124+I131+I133</f>
        <v>50157.08</v>
      </c>
      <c r="J135" s="122">
        <f>+J124+J131+J133</f>
        <v>50670.06</v>
      </c>
      <c r="K135" s="122">
        <f>+K124+K131+K133</f>
        <v>53654.49</v>
      </c>
      <c r="L135" s="122">
        <f>+L124+L131+L133</f>
        <v>53803.99</v>
      </c>
      <c r="M135" s="122">
        <f>+M124+M131+M133</f>
        <v>51756.61</v>
      </c>
      <c r="N135" s="122">
        <f>+N124+N131+N133</f>
        <v>53758.85</v>
      </c>
      <c r="O135" s="122">
        <f>+O124+O131+O133</f>
        <v>605578.99999999977</v>
      </c>
    </row>
    <row r="136" spans="2:15">
      <c r="B136" s="121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</row>
    <row r="137" spans="2:15">
      <c r="B137" s="126" t="s">
        <v>781</v>
      </c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</row>
    <row r="138" spans="2:15">
      <c r="B138" s="124" t="s">
        <v>780</v>
      </c>
      <c r="C138" s="120">
        <f>+$O$138/12</f>
        <v>11635.75</v>
      </c>
      <c r="D138" s="120">
        <f>+$O$138/12</f>
        <v>11635.75</v>
      </c>
      <c r="E138" s="120">
        <f>+$O$138/12</f>
        <v>11635.75</v>
      </c>
      <c r="F138" s="120">
        <f>+$O$138/12</f>
        <v>11635.75</v>
      </c>
      <c r="G138" s="120">
        <f>+$O$138/12</f>
        <v>11635.75</v>
      </c>
      <c r="H138" s="120">
        <f>+$O$138/12</f>
        <v>11635.75</v>
      </c>
      <c r="I138" s="120">
        <f>+$O$138/12</f>
        <v>11635.75</v>
      </c>
      <c r="J138" s="120">
        <f>+$O$138/12</f>
        <v>11635.75</v>
      </c>
      <c r="K138" s="120">
        <f>+$O$138/12</f>
        <v>11635.75</v>
      </c>
      <c r="L138" s="120">
        <f>+$O$138/12</f>
        <v>11635.75</v>
      </c>
      <c r="M138" s="120">
        <f>+$O$138/12</f>
        <v>11635.75</v>
      </c>
      <c r="N138" s="120">
        <f>+$O$138/12</f>
        <v>11635.75</v>
      </c>
      <c r="O138" s="120">
        <v>139629</v>
      </c>
    </row>
    <row r="139" spans="2:15">
      <c r="B139" s="124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</row>
    <row r="140" spans="2:15">
      <c r="B140" s="123" t="s">
        <v>779</v>
      </c>
      <c r="C140" s="122">
        <f>SUM(C138:C139)</f>
        <v>11635.75</v>
      </c>
      <c r="D140" s="122">
        <f>SUM(D138:D139)</f>
        <v>11635.75</v>
      </c>
      <c r="E140" s="122">
        <f>SUM(E138:E139)</f>
        <v>11635.75</v>
      </c>
      <c r="F140" s="122">
        <f>SUM(F138:F139)</f>
        <v>11635.75</v>
      </c>
      <c r="G140" s="122">
        <f>SUM(G138:G139)</f>
        <v>11635.75</v>
      </c>
      <c r="H140" s="122">
        <f>SUM(H138:H139)</f>
        <v>11635.75</v>
      </c>
      <c r="I140" s="122">
        <f>SUM(I138:I139)</f>
        <v>11635.75</v>
      </c>
      <c r="J140" s="122">
        <f>SUM(J138:J139)</f>
        <v>11635.75</v>
      </c>
      <c r="K140" s="122">
        <f>SUM(K138:K139)</f>
        <v>11635.75</v>
      </c>
      <c r="L140" s="122">
        <f>SUM(L138:L139)</f>
        <v>11635.75</v>
      </c>
      <c r="M140" s="122">
        <f>SUM(M138:M139)</f>
        <v>11635.75</v>
      </c>
      <c r="N140" s="122">
        <f>SUM(N138:N139)</f>
        <v>11635.75</v>
      </c>
      <c r="O140" s="122">
        <f>SUM(O138:O139)</f>
        <v>139629</v>
      </c>
    </row>
    <row r="141" spans="2:15">
      <c r="B141" s="121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</row>
    <row r="142" spans="2:15" s="117" customFormat="1">
      <c r="B142" s="119" t="s">
        <v>778</v>
      </c>
      <c r="C142" s="118">
        <f>+C116+C135-C138</f>
        <v>86806.01999999999</v>
      </c>
      <c r="D142" s="118">
        <f>+D116+D135-D138</f>
        <v>104077.4</v>
      </c>
      <c r="E142" s="118">
        <f>+E116+E135-E138</f>
        <v>54391.700000000012</v>
      </c>
      <c r="F142" s="118">
        <f>+F116+F135-F138</f>
        <v>41824.620000000003</v>
      </c>
      <c r="G142" s="118">
        <f>+G116+G135-G138</f>
        <v>42935.98</v>
      </c>
      <c r="H142" s="118">
        <f>+H116+H135-H138</f>
        <v>73986.38</v>
      </c>
      <c r="I142" s="118">
        <f>+I116+I135-I138</f>
        <v>76736.38</v>
      </c>
      <c r="J142" s="118">
        <f>+J116+J135-J138</f>
        <v>83591.09</v>
      </c>
      <c r="K142" s="118">
        <f>+K116+K135-K138</f>
        <v>72117.39</v>
      </c>
      <c r="L142" s="118">
        <f>+L116+L135-L138</f>
        <v>43725.509999999995</v>
      </c>
      <c r="M142" s="118">
        <f>+M116+M135-M138</f>
        <v>72446.23</v>
      </c>
      <c r="N142" s="118">
        <f>+N116+N135-N138</f>
        <v>66888.3</v>
      </c>
      <c r="O142" s="118">
        <f>+O116+O135-O138</f>
        <v>819526.99999999977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76A35-002F-4391-9485-0A3B3C0C66BD}">
  <dimension ref="A1:N333"/>
  <sheetViews>
    <sheetView workbookViewId="0">
      <selection activeCell="E12" sqref="E12"/>
    </sheetView>
  </sheetViews>
  <sheetFormatPr defaultRowHeight="14.5"/>
  <cols>
    <col min="1" max="1" width="8.25" style="171" bestFit="1" customWidth="1"/>
    <col min="2" max="2" width="7.5" style="171" bestFit="1" customWidth="1"/>
    <col min="3" max="3" width="6.4140625" style="171" bestFit="1" customWidth="1"/>
    <col min="4" max="4" width="21.25" style="171" bestFit="1" customWidth="1"/>
    <col min="5" max="5" width="21.5" style="171" bestFit="1" customWidth="1"/>
    <col min="6" max="8" width="9.5" style="171" bestFit="1" customWidth="1"/>
    <col min="9" max="9" width="15.1640625" style="171" bestFit="1" customWidth="1"/>
    <col min="10" max="10" width="9.6640625" style="171" bestFit="1" customWidth="1"/>
    <col min="11" max="11" width="12.08203125" style="171" bestFit="1" customWidth="1"/>
    <col min="12" max="12" width="15.1640625" style="171" bestFit="1" customWidth="1"/>
    <col min="13" max="13" width="8.08203125" style="171" bestFit="1" customWidth="1"/>
    <col min="14" max="14" width="10.25" style="171" bestFit="1" customWidth="1"/>
    <col min="15" max="16384" width="8.6640625" style="171"/>
  </cols>
  <sheetData>
    <row r="1" spans="1:14">
      <c r="A1" s="171" t="s">
        <v>1436</v>
      </c>
      <c r="B1" s="171" t="s">
        <v>1435</v>
      </c>
      <c r="C1" s="171" t="s">
        <v>1434</v>
      </c>
      <c r="D1" s="171" t="s">
        <v>1433</v>
      </c>
      <c r="E1" s="171" t="s">
        <v>1432</v>
      </c>
      <c r="F1" s="171" t="s">
        <v>1431</v>
      </c>
      <c r="G1" s="171" t="s">
        <v>1430</v>
      </c>
      <c r="H1" s="171" t="s">
        <v>1429</v>
      </c>
      <c r="I1" s="171" t="s">
        <v>1428</v>
      </c>
      <c r="J1" s="171" t="s">
        <v>426</v>
      </c>
      <c r="K1" s="171" t="s">
        <v>1427</v>
      </c>
      <c r="L1" s="171" t="s">
        <v>1426</v>
      </c>
      <c r="M1" s="171" t="s">
        <v>1425</v>
      </c>
      <c r="N1" s="171" t="s">
        <v>1424</v>
      </c>
    </row>
    <row r="2" spans="1:14">
      <c r="A2" s="171" t="s">
        <v>1423</v>
      </c>
      <c r="B2" s="171" t="s">
        <v>866</v>
      </c>
      <c r="C2" s="171">
        <v>75.75</v>
      </c>
      <c r="D2" s="171" t="s">
        <v>869</v>
      </c>
      <c r="E2" s="171" t="s">
        <v>1422</v>
      </c>
      <c r="F2" s="173">
        <v>40798</v>
      </c>
      <c r="G2" s="173">
        <v>45139</v>
      </c>
      <c r="J2" s="171">
        <v>525</v>
      </c>
      <c r="K2" s="171">
        <v>13</v>
      </c>
      <c r="L2" s="171">
        <v>0</v>
      </c>
      <c r="M2" s="171">
        <v>20.13</v>
      </c>
      <c r="N2" s="171">
        <v>0</v>
      </c>
    </row>
    <row r="3" spans="1:14">
      <c r="A3" s="171" t="s">
        <v>1421</v>
      </c>
      <c r="B3" s="171" t="s">
        <v>866</v>
      </c>
      <c r="C3" s="171">
        <v>75.75</v>
      </c>
      <c r="D3" s="171" t="s">
        <v>869</v>
      </c>
      <c r="E3" s="171" t="s">
        <v>1420</v>
      </c>
      <c r="F3" s="173">
        <v>40798</v>
      </c>
      <c r="G3" s="173">
        <v>45139</v>
      </c>
      <c r="J3" s="171">
        <v>525</v>
      </c>
      <c r="K3" s="171">
        <v>13</v>
      </c>
      <c r="L3" s="171">
        <v>0</v>
      </c>
      <c r="M3" s="171">
        <v>20.13</v>
      </c>
      <c r="N3" s="171">
        <v>0</v>
      </c>
    </row>
    <row r="4" spans="1:14">
      <c r="A4" s="171" t="s">
        <v>1419</v>
      </c>
      <c r="B4" s="171" t="s">
        <v>866</v>
      </c>
      <c r="C4" s="171">
        <v>75.75</v>
      </c>
      <c r="D4" s="171" t="s">
        <v>869</v>
      </c>
      <c r="E4" s="171" t="s">
        <v>1418</v>
      </c>
      <c r="F4" s="173">
        <v>40798</v>
      </c>
      <c r="G4" s="173">
        <v>45139</v>
      </c>
      <c r="J4" s="171">
        <v>525</v>
      </c>
      <c r="K4" s="171">
        <v>13</v>
      </c>
      <c r="L4" s="171">
        <v>0</v>
      </c>
      <c r="M4" s="171">
        <v>20.13</v>
      </c>
      <c r="N4" s="171">
        <v>0</v>
      </c>
    </row>
    <row r="5" spans="1:14">
      <c r="A5" s="171" t="s">
        <v>1417</v>
      </c>
      <c r="B5" s="171" t="s">
        <v>866</v>
      </c>
      <c r="C5" s="171">
        <v>75.75</v>
      </c>
      <c r="D5" s="171" t="s">
        <v>869</v>
      </c>
      <c r="E5" s="171" t="s">
        <v>1416</v>
      </c>
      <c r="F5" s="173">
        <v>40798</v>
      </c>
      <c r="G5" s="173">
        <v>45139</v>
      </c>
      <c r="J5" s="171">
        <v>525</v>
      </c>
      <c r="K5" s="171">
        <v>13</v>
      </c>
      <c r="L5" s="171">
        <v>0</v>
      </c>
      <c r="M5" s="171">
        <v>20.13</v>
      </c>
      <c r="N5" s="171">
        <v>0</v>
      </c>
    </row>
    <row r="6" spans="1:14">
      <c r="A6" s="171" t="s">
        <v>1415</v>
      </c>
      <c r="B6" s="171" t="s">
        <v>886</v>
      </c>
      <c r="C6" s="171">
        <v>180</v>
      </c>
      <c r="D6" s="171" t="s">
        <v>918</v>
      </c>
      <c r="E6" s="171" t="s">
        <v>1414</v>
      </c>
      <c r="F6" s="173">
        <v>45499</v>
      </c>
      <c r="G6" s="173">
        <v>45860</v>
      </c>
      <c r="H6" s="173">
        <v>46227</v>
      </c>
      <c r="I6" s="173">
        <v>46227</v>
      </c>
      <c r="J6" s="171">
        <v>650</v>
      </c>
      <c r="K6" s="171">
        <v>821.13</v>
      </c>
      <c r="L6" s="171">
        <v>650</v>
      </c>
      <c r="M6" s="171">
        <v>0</v>
      </c>
      <c r="N6" s="171">
        <v>250</v>
      </c>
    </row>
    <row r="7" spans="1:14">
      <c r="A7" s="171" t="s">
        <v>1413</v>
      </c>
      <c r="B7" s="171" t="s">
        <v>886</v>
      </c>
      <c r="C7" s="171">
        <v>180</v>
      </c>
      <c r="D7" s="171" t="s">
        <v>918</v>
      </c>
      <c r="E7" s="171" t="s">
        <v>1412</v>
      </c>
      <c r="F7" s="173">
        <v>45499</v>
      </c>
      <c r="G7" s="173">
        <v>45860</v>
      </c>
      <c r="H7" s="173">
        <v>46227</v>
      </c>
      <c r="I7" s="173">
        <v>46227</v>
      </c>
      <c r="J7" s="172">
        <v>1300</v>
      </c>
      <c r="K7" s="171">
        <v>781.19</v>
      </c>
      <c r="L7" s="171">
        <v>675</v>
      </c>
      <c r="M7" s="171">
        <v>-0.84</v>
      </c>
      <c r="N7" s="171">
        <v>250</v>
      </c>
    </row>
    <row r="8" spans="1:14">
      <c r="A8" s="171" t="s">
        <v>1411</v>
      </c>
      <c r="B8" s="171" t="s">
        <v>866</v>
      </c>
      <c r="C8" s="171">
        <v>281.25</v>
      </c>
      <c r="D8" s="171" t="s">
        <v>990</v>
      </c>
      <c r="E8" s="171" t="s">
        <v>1410</v>
      </c>
      <c r="F8" s="173">
        <v>45863</v>
      </c>
      <c r="G8" s="173">
        <v>45863</v>
      </c>
      <c r="H8" s="173">
        <v>46227</v>
      </c>
      <c r="I8" s="173">
        <v>46227</v>
      </c>
      <c r="J8" s="171">
        <v>525</v>
      </c>
      <c r="K8" s="171">
        <v>591.36</v>
      </c>
      <c r="L8" s="171">
        <v>525</v>
      </c>
      <c r="M8" s="171">
        <v>13</v>
      </c>
      <c r="N8" s="171">
        <v>250</v>
      </c>
    </row>
    <row r="9" spans="1:14">
      <c r="A9" s="171" t="s">
        <v>1409</v>
      </c>
      <c r="B9" s="171" t="s">
        <v>866</v>
      </c>
      <c r="C9" s="171">
        <v>281.25</v>
      </c>
      <c r="D9" s="171" t="s">
        <v>865</v>
      </c>
      <c r="E9" s="171" t="s">
        <v>864</v>
      </c>
      <c r="J9" s="172">
        <v>1950</v>
      </c>
      <c r="K9" s="171">
        <v>0</v>
      </c>
      <c r="L9" s="171">
        <v>0</v>
      </c>
      <c r="N9" s="171">
        <v>0</v>
      </c>
    </row>
    <row r="10" spans="1:14">
      <c r="A10" s="171" t="s">
        <v>1408</v>
      </c>
      <c r="B10" s="171" t="s">
        <v>866</v>
      </c>
      <c r="C10" s="171">
        <v>281.25</v>
      </c>
      <c r="D10" s="171" t="s">
        <v>918</v>
      </c>
      <c r="E10" s="171" t="s">
        <v>1407</v>
      </c>
      <c r="F10" s="173">
        <v>45860</v>
      </c>
      <c r="G10" s="173">
        <v>45860</v>
      </c>
      <c r="H10" s="173">
        <v>46227</v>
      </c>
      <c r="I10" s="173">
        <v>46227</v>
      </c>
      <c r="J10" s="172">
        <v>1050</v>
      </c>
      <c r="K10" s="171">
        <v>566.36</v>
      </c>
      <c r="L10" s="171">
        <v>500</v>
      </c>
      <c r="M10" s="171">
        <v>20.13</v>
      </c>
      <c r="N10" s="171">
        <v>250</v>
      </c>
    </row>
    <row r="11" spans="1:14">
      <c r="A11" s="171" t="s">
        <v>1406</v>
      </c>
      <c r="B11" s="171" t="s">
        <v>866</v>
      </c>
      <c r="C11" s="171">
        <v>281.25</v>
      </c>
      <c r="D11" s="171" t="s">
        <v>951</v>
      </c>
      <c r="E11" s="171" t="s">
        <v>864</v>
      </c>
      <c r="J11" s="172">
        <v>1900</v>
      </c>
      <c r="K11" s="171">
        <v>0</v>
      </c>
      <c r="L11" s="171">
        <v>0</v>
      </c>
    </row>
    <row r="12" spans="1:14">
      <c r="A12" s="171" t="s">
        <v>1405</v>
      </c>
      <c r="B12" s="171" t="s">
        <v>886</v>
      </c>
      <c r="C12" s="171">
        <v>180</v>
      </c>
      <c r="D12" s="171" t="s">
        <v>918</v>
      </c>
      <c r="E12" s="171" t="s">
        <v>1404</v>
      </c>
      <c r="F12" s="173">
        <v>45870</v>
      </c>
      <c r="G12" s="173">
        <v>45870</v>
      </c>
      <c r="H12" s="173">
        <v>46227</v>
      </c>
      <c r="I12" s="173">
        <v>46204</v>
      </c>
      <c r="J12" s="171">
        <v>650</v>
      </c>
      <c r="K12" s="171">
        <v>702.66</v>
      </c>
      <c r="L12" s="171">
        <v>650</v>
      </c>
      <c r="M12" s="171">
        <v>0</v>
      </c>
      <c r="N12" s="171">
        <v>250</v>
      </c>
    </row>
    <row r="13" spans="1:14">
      <c r="A13" s="171" t="s">
        <v>1403</v>
      </c>
      <c r="B13" s="171" t="s">
        <v>886</v>
      </c>
      <c r="C13" s="171">
        <v>180</v>
      </c>
      <c r="D13" s="171" t="s">
        <v>869</v>
      </c>
      <c r="E13" s="171" t="s">
        <v>1402</v>
      </c>
      <c r="F13" s="173">
        <v>45873</v>
      </c>
      <c r="G13" s="173">
        <v>45873</v>
      </c>
      <c r="H13" s="173">
        <v>46227</v>
      </c>
      <c r="J13" s="171">
        <v>650</v>
      </c>
      <c r="K13" s="171">
        <v>702.66</v>
      </c>
      <c r="L13" s="171">
        <v>650</v>
      </c>
      <c r="M13" s="171">
        <v>0</v>
      </c>
      <c r="N13" s="171">
        <v>250</v>
      </c>
    </row>
    <row r="14" spans="1:14">
      <c r="A14" s="171" t="s">
        <v>1401</v>
      </c>
      <c r="B14" s="171" t="s">
        <v>866</v>
      </c>
      <c r="C14" s="171">
        <v>75.75</v>
      </c>
      <c r="D14" s="171" t="s">
        <v>951</v>
      </c>
      <c r="E14" s="171" t="s">
        <v>864</v>
      </c>
      <c r="J14" s="172">
        <v>1950</v>
      </c>
      <c r="K14" s="171">
        <v>0</v>
      </c>
      <c r="L14" s="171">
        <v>0</v>
      </c>
    </row>
    <row r="15" spans="1:14">
      <c r="A15" s="171" t="s">
        <v>1400</v>
      </c>
      <c r="B15" s="171" t="s">
        <v>866</v>
      </c>
      <c r="C15" s="171">
        <v>75.75</v>
      </c>
      <c r="D15" s="171" t="s">
        <v>951</v>
      </c>
      <c r="E15" s="171" t="s">
        <v>864</v>
      </c>
      <c r="J15" s="171">
        <v>600</v>
      </c>
      <c r="K15" s="171">
        <v>0</v>
      </c>
      <c r="L15" s="171">
        <v>0</v>
      </c>
    </row>
    <row r="16" spans="1:14">
      <c r="A16" s="171" t="s">
        <v>1399</v>
      </c>
      <c r="B16" s="171" t="s">
        <v>866</v>
      </c>
      <c r="C16" s="171">
        <v>75.75</v>
      </c>
      <c r="D16" s="171" t="s">
        <v>869</v>
      </c>
      <c r="E16" s="171" t="s">
        <v>1398</v>
      </c>
      <c r="F16" s="173">
        <v>46174</v>
      </c>
      <c r="G16" s="173">
        <v>46174</v>
      </c>
      <c r="H16" s="173">
        <v>46599</v>
      </c>
      <c r="J16" s="172">
        <v>1200</v>
      </c>
      <c r="K16" s="171">
        <v>600</v>
      </c>
      <c r="L16" s="171">
        <v>525</v>
      </c>
      <c r="M16" s="171">
        <v>0</v>
      </c>
      <c r="N16" s="171">
        <v>0</v>
      </c>
    </row>
    <row r="17" spans="1:14">
      <c r="A17" s="171" t="s">
        <v>1397</v>
      </c>
      <c r="B17" s="171" t="s">
        <v>866</v>
      </c>
      <c r="C17" s="171">
        <v>75.75</v>
      </c>
      <c r="D17" s="171" t="s">
        <v>951</v>
      </c>
      <c r="E17" s="171" t="s">
        <v>864</v>
      </c>
      <c r="J17" s="171">
        <v>600</v>
      </c>
      <c r="K17" s="171">
        <v>0</v>
      </c>
      <c r="L17" s="171">
        <v>0</v>
      </c>
    </row>
    <row r="18" spans="1:14">
      <c r="A18" s="171" t="s">
        <v>1396</v>
      </c>
      <c r="B18" s="171" t="s">
        <v>886</v>
      </c>
      <c r="C18" s="171">
        <v>180</v>
      </c>
      <c r="D18" s="171" t="s">
        <v>869</v>
      </c>
      <c r="E18" s="171" t="s">
        <v>1395</v>
      </c>
      <c r="F18" s="173">
        <v>45901</v>
      </c>
      <c r="G18" s="173">
        <v>45901</v>
      </c>
      <c r="H18" s="173">
        <v>46227</v>
      </c>
      <c r="J18" s="171">
        <v>650</v>
      </c>
      <c r="K18" s="171">
        <v>674.48</v>
      </c>
      <c r="L18" s="171">
        <v>650</v>
      </c>
      <c r="M18" s="171">
        <v>0</v>
      </c>
      <c r="N18" s="171">
        <v>250</v>
      </c>
    </row>
    <row r="19" spans="1:14">
      <c r="A19" s="171" t="s">
        <v>1394</v>
      </c>
      <c r="B19" s="171" t="s">
        <v>886</v>
      </c>
      <c r="C19" s="171">
        <v>180</v>
      </c>
      <c r="D19" s="171" t="s">
        <v>869</v>
      </c>
      <c r="E19" s="171" t="s">
        <v>1393</v>
      </c>
      <c r="F19" s="173">
        <v>46037</v>
      </c>
      <c r="G19" s="173">
        <v>46037</v>
      </c>
      <c r="H19" s="173">
        <v>46227</v>
      </c>
      <c r="J19" s="172">
        <v>1450</v>
      </c>
      <c r="K19" s="171">
        <v>664.48</v>
      </c>
      <c r="L19" s="171">
        <v>640</v>
      </c>
      <c r="M19" s="171">
        <v>0</v>
      </c>
      <c r="N19" s="171">
        <v>250</v>
      </c>
    </row>
    <row r="20" spans="1:14">
      <c r="A20" s="171" t="s">
        <v>1392</v>
      </c>
      <c r="B20" s="171" t="s">
        <v>886</v>
      </c>
      <c r="C20" s="171">
        <v>180</v>
      </c>
      <c r="D20" s="171" t="s">
        <v>869</v>
      </c>
      <c r="E20" s="171" t="s">
        <v>1391</v>
      </c>
      <c r="F20" s="173">
        <v>44774</v>
      </c>
      <c r="G20" s="173">
        <v>45860</v>
      </c>
      <c r="H20" s="173">
        <v>46227</v>
      </c>
      <c r="J20" s="171">
        <v>650</v>
      </c>
      <c r="K20" s="171">
        <v>721.33</v>
      </c>
      <c r="L20" s="171">
        <v>650</v>
      </c>
      <c r="M20" s="171">
        <v>0</v>
      </c>
      <c r="N20" s="171">
        <v>250</v>
      </c>
    </row>
    <row r="21" spans="1:14">
      <c r="A21" s="171" t="s">
        <v>1390</v>
      </c>
      <c r="B21" s="171" t="s">
        <v>886</v>
      </c>
      <c r="C21" s="171">
        <v>180</v>
      </c>
      <c r="D21" s="171" t="s">
        <v>918</v>
      </c>
      <c r="E21" s="171" t="s">
        <v>1389</v>
      </c>
      <c r="F21" s="173">
        <v>45505</v>
      </c>
      <c r="G21" s="173">
        <v>45860</v>
      </c>
      <c r="H21" s="173">
        <v>46227</v>
      </c>
      <c r="I21" s="173">
        <v>46227</v>
      </c>
      <c r="J21" s="171">
        <v>650</v>
      </c>
      <c r="K21" s="171">
        <v>708.33</v>
      </c>
      <c r="L21" s="171">
        <v>650</v>
      </c>
      <c r="M21" s="171">
        <v>0</v>
      </c>
      <c r="N21" s="171">
        <v>250</v>
      </c>
    </row>
    <row r="22" spans="1:14">
      <c r="A22" s="171" t="s">
        <v>1388</v>
      </c>
      <c r="B22" s="171" t="s">
        <v>881</v>
      </c>
      <c r="C22" s="171">
        <v>300</v>
      </c>
      <c r="D22" s="171" t="s">
        <v>865</v>
      </c>
      <c r="E22" s="171" t="s">
        <v>864</v>
      </c>
      <c r="J22" s="171">
        <v>674</v>
      </c>
      <c r="K22" s="171">
        <v>0</v>
      </c>
      <c r="L22" s="171">
        <v>0</v>
      </c>
      <c r="N22" s="171">
        <v>0</v>
      </c>
    </row>
    <row r="23" spans="1:14">
      <c r="A23" s="171" t="s">
        <v>1387</v>
      </c>
      <c r="B23" s="171" t="s">
        <v>881</v>
      </c>
      <c r="C23" s="171">
        <v>300</v>
      </c>
      <c r="D23" s="171" t="s">
        <v>869</v>
      </c>
      <c r="E23" s="171" t="s">
        <v>1386</v>
      </c>
      <c r="F23" s="173">
        <v>45520</v>
      </c>
      <c r="G23" s="173">
        <v>45860</v>
      </c>
      <c r="H23" s="173">
        <v>46227</v>
      </c>
      <c r="J23" s="171">
        <v>599</v>
      </c>
      <c r="K23" s="171">
        <v>698.93</v>
      </c>
      <c r="L23" s="171">
        <v>599</v>
      </c>
      <c r="M23" s="172">
        <v>-3581.96</v>
      </c>
      <c r="N23" s="171">
        <v>250</v>
      </c>
    </row>
    <row r="24" spans="1:14">
      <c r="A24" s="171" t="s">
        <v>1385</v>
      </c>
      <c r="B24" s="171" t="s">
        <v>876</v>
      </c>
      <c r="C24" s="171">
        <v>151.5</v>
      </c>
      <c r="D24" s="171" t="s">
        <v>869</v>
      </c>
      <c r="E24" s="171" t="s">
        <v>1383</v>
      </c>
      <c r="F24" s="173">
        <v>46174</v>
      </c>
      <c r="G24" s="173">
        <v>46174</v>
      </c>
      <c r="H24" s="173">
        <v>46592</v>
      </c>
      <c r="J24" s="171">
        <v>624</v>
      </c>
      <c r="K24" s="171">
        <v>592.5</v>
      </c>
      <c r="L24" s="171">
        <v>555</v>
      </c>
      <c r="M24" s="171">
        <v>0</v>
      </c>
      <c r="N24" s="171">
        <v>0</v>
      </c>
    </row>
    <row r="25" spans="1:14">
      <c r="A25" s="171" t="s">
        <v>1384</v>
      </c>
      <c r="B25" s="171" t="s">
        <v>876</v>
      </c>
      <c r="C25" s="171">
        <v>151.5</v>
      </c>
      <c r="D25" s="171" t="s">
        <v>869</v>
      </c>
      <c r="E25" s="171" t="s">
        <v>1383</v>
      </c>
      <c r="F25" s="173">
        <v>46174</v>
      </c>
      <c r="G25" s="173">
        <v>46174</v>
      </c>
      <c r="H25" s="173">
        <v>46592</v>
      </c>
      <c r="J25" s="172">
        <v>1248</v>
      </c>
      <c r="K25" s="171">
        <v>592.5</v>
      </c>
      <c r="L25" s="171">
        <v>555</v>
      </c>
      <c r="M25" s="171">
        <v>0</v>
      </c>
      <c r="N25" s="171">
        <v>0</v>
      </c>
    </row>
    <row r="26" spans="1:14">
      <c r="A26" s="171" t="s">
        <v>1382</v>
      </c>
      <c r="B26" s="171" t="s">
        <v>881</v>
      </c>
      <c r="C26" s="171">
        <v>300</v>
      </c>
      <c r="D26" s="171" t="s">
        <v>869</v>
      </c>
      <c r="E26" s="171" t="s">
        <v>1380</v>
      </c>
      <c r="F26" s="173">
        <v>45505</v>
      </c>
      <c r="G26" s="173">
        <v>45860</v>
      </c>
      <c r="H26" s="173">
        <v>46227</v>
      </c>
      <c r="J26" s="171">
        <v>599</v>
      </c>
      <c r="K26" s="171">
        <v>640.74</v>
      </c>
      <c r="L26" s="171">
        <v>599</v>
      </c>
      <c r="M26" s="171">
        <v>0</v>
      </c>
      <c r="N26" s="171">
        <v>125</v>
      </c>
    </row>
    <row r="27" spans="1:14">
      <c r="A27" s="171" t="s">
        <v>1381</v>
      </c>
      <c r="B27" s="171" t="s">
        <v>881</v>
      </c>
      <c r="C27" s="171">
        <v>300</v>
      </c>
      <c r="D27" s="171" t="s">
        <v>869</v>
      </c>
      <c r="E27" s="171" t="s">
        <v>1380</v>
      </c>
      <c r="F27" s="173">
        <v>45505</v>
      </c>
      <c r="G27" s="173">
        <v>45860</v>
      </c>
      <c r="H27" s="173">
        <v>46227</v>
      </c>
      <c r="J27" s="171">
        <v>599</v>
      </c>
      <c r="K27" s="171">
        <v>640.74</v>
      </c>
      <c r="L27" s="171">
        <v>599</v>
      </c>
      <c r="M27" s="171">
        <v>0</v>
      </c>
      <c r="N27" s="171">
        <v>125</v>
      </c>
    </row>
    <row r="28" spans="1:14">
      <c r="A28" s="171" t="s">
        <v>1379</v>
      </c>
      <c r="B28" s="171" t="s">
        <v>876</v>
      </c>
      <c r="C28" s="171">
        <v>262.5</v>
      </c>
      <c r="D28" s="171" t="s">
        <v>918</v>
      </c>
      <c r="E28" s="171" t="s">
        <v>1378</v>
      </c>
      <c r="F28" s="173">
        <v>45520</v>
      </c>
      <c r="G28" s="173">
        <v>45860</v>
      </c>
      <c r="H28" s="173">
        <v>46227</v>
      </c>
      <c r="I28" s="173">
        <v>46227</v>
      </c>
      <c r="J28" s="171">
        <v>555</v>
      </c>
      <c r="K28" s="171">
        <v>645.59</v>
      </c>
      <c r="L28" s="171">
        <v>549</v>
      </c>
      <c r="M28" s="171">
        <v>371.35</v>
      </c>
      <c r="N28" s="171">
        <v>250</v>
      </c>
    </row>
    <row r="29" spans="1:14">
      <c r="A29" s="171" t="s">
        <v>1377</v>
      </c>
      <c r="B29" s="171" t="s">
        <v>876</v>
      </c>
      <c r="C29" s="171">
        <v>262.5</v>
      </c>
      <c r="D29" s="171" t="s">
        <v>871</v>
      </c>
      <c r="E29" s="171" t="s">
        <v>864</v>
      </c>
      <c r="J29" s="172">
        <v>1248</v>
      </c>
      <c r="K29" s="171">
        <v>0</v>
      </c>
      <c r="L29" s="171">
        <v>0</v>
      </c>
      <c r="N29" s="171">
        <v>0</v>
      </c>
    </row>
    <row r="30" spans="1:14">
      <c r="A30" s="171" t="s">
        <v>1376</v>
      </c>
      <c r="B30" s="171" t="s">
        <v>886</v>
      </c>
      <c r="C30" s="171">
        <v>180</v>
      </c>
      <c r="D30" s="171" t="s">
        <v>869</v>
      </c>
      <c r="E30" s="171" t="s">
        <v>1375</v>
      </c>
      <c r="F30" s="173">
        <v>45890</v>
      </c>
      <c r="G30" s="173">
        <v>45890</v>
      </c>
      <c r="H30" s="173">
        <v>46227</v>
      </c>
      <c r="J30" s="171">
        <v>650</v>
      </c>
      <c r="K30" s="171">
        <v>719.73</v>
      </c>
      <c r="L30" s="171">
        <v>650</v>
      </c>
      <c r="M30" s="171">
        <v>-23.12</v>
      </c>
      <c r="N30" s="171">
        <v>250</v>
      </c>
    </row>
    <row r="31" spans="1:14">
      <c r="A31" s="171" t="s">
        <v>1374</v>
      </c>
      <c r="B31" s="171" t="s">
        <v>886</v>
      </c>
      <c r="C31" s="171">
        <v>180</v>
      </c>
      <c r="D31" s="171" t="s">
        <v>869</v>
      </c>
      <c r="E31" s="171" t="s">
        <v>1373</v>
      </c>
      <c r="F31" s="173">
        <v>45890</v>
      </c>
      <c r="G31" s="173">
        <v>45890</v>
      </c>
      <c r="H31" s="173">
        <v>46227</v>
      </c>
      <c r="J31" s="171">
        <v>650</v>
      </c>
      <c r="K31" s="171">
        <v>719.73</v>
      </c>
      <c r="L31" s="171">
        <v>650</v>
      </c>
      <c r="M31" s="171">
        <v>0</v>
      </c>
      <c r="N31" s="171">
        <v>250</v>
      </c>
    </row>
    <row r="32" spans="1:14">
      <c r="A32" s="171" t="s">
        <v>1372</v>
      </c>
      <c r="B32" s="171" t="s">
        <v>886</v>
      </c>
      <c r="C32" s="171">
        <v>180</v>
      </c>
      <c r="D32" s="171" t="s">
        <v>869</v>
      </c>
      <c r="E32" s="171" t="s">
        <v>1371</v>
      </c>
      <c r="F32" s="173">
        <v>45474</v>
      </c>
      <c r="G32" s="173">
        <v>45860</v>
      </c>
      <c r="H32" s="173">
        <v>46227</v>
      </c>
      <c r="J32" s="171">
        <v>650</v>
      </c>
      <c r="K32" s="171">
        <v>695.49</v>
      </c>
      <c r="L32" s="171">
        <v>650</v>
      </c>
      <c r="M32" s="171">
        <v>0</v>
      </c>
      <c r="N32" s="171">
        <v>250</v>
      </c>
    </row>
    <row r="33" spans="1:14">
      <c r="A33" s="171" t="s">
        <v>1370</v>
      </c>
      <c r="B33" s="171" t="s">
        <v>886</v>
      </c>
      <c r="C33" s="171">
        <v>180</v>
      </c>
      <c r="D33" s="171" t="s">
        <v>869</v>
      </c>
      <c r="E33" s="171" t="s">
        <v>1369</v>
      </c>
      <c r="F33" s="173">
        <v>45633</v>
      </c>
      <c r="G33" s="173">
        <v>45860</v>
      </c>
      <c r="H33" s="173">
        <v>46227</v>
      </c>
      <c r="J33" s="171">
        <v>650</v>
      </c>
      <c r="K33" s="171">
        <v>720.49</v>
      </c>
      <c r="L33" s="171">
        <v>675</v>
      </c>
      <c r="M33" s="171">
        <v>0</v>
      </c>
      <c r="N33" s="171">
        <v>250</v>
      </c>
    </row>
    <row r="34" spans="1:14">
      <c r="A34" s="171" t="s">
        <v>1368</v>
      </c>
      <c r="B34" s="171" t="s">
        <v>886</v>
      </c>
      <c r="C34" s="171">
        <v>180</v>
      </c>
      <c r="D34" s="171" t="s">
        <v>869</v>
      </c>
      <c r="E34" s="171" t="s">
        <v>1367</v>
      </c>
      <c r="F34" s="173">
        <v>45870</v>
      </c>
      <c r="G34" s="173">
        <v>45870</v>
      </c>
      <c r="H34" s="173">
        <v>46227</v>
      </c>
      <c r="J34" s="171">
        <v>650</v>
      </c>
      <c r="K34" s="171">
        <v>700.67</v>
      </c>
      <c r="L34" s="171">
        <v>650</v>
      </c>
      <c r="M34" s="171">
        <v>0</v>
      </c>
      <c r="N34" s="171">
        <v>250</v>
      </c>
    </row>
    <row r="35" spans="1:14">
      <c r="A35" s="171" t="s">
        <v>1366</v>
      </c>
      <c r="B35" s="171" t="s">
        <v>886</v>
      </c>
      <c r="C35" s="171">
        <v>180</v>
      </c>
      <c r="D35" s="171" t="s">
        <v>869</v>
      </c>
      <c r="E35" s="171" t="s">
        <v>1365</v>
      </c>
      <c r="F35" s="173">
        <v>45870</v>
      </c>
      <c r="G35" s="173">
        <v>45890</v>
      </c>
      <c r="H35" s="173">
        <v>46227</v>
      </c>
      <c r="J35" s="171">
        <v>650</v>
      </c>
      <c r="K35" s="171">
        <v>700.67</v>
      </c>
      <c r="L35" s="171">
        <v>650</v>
      </c>
      <c r="M35" s="171">
        <v>0</v>
      </c>
      <c r="N35" s="171">
        <v>250</v>
      </c>
    </row>
    <row r="36" spans="1:14">
      <c r="A36" s="171" t="s">
        <v>1364</v>
      </c>
      <c r="B36" s="171" t="s">
        <v>886</v>
      </c>
      <c r="C36" s="171">
        <v>180</v>
      </c>
      <c r="D36" s="171" t="s">
        <v>869</v>
      </c>
      <c r="E36" s="171" t="s">
        <v>1363</v>
      </c>
      <c r="F36" s="173">
        <v>46121</v>
      </c>
      <c r="G36" s="173">
        <v>46121</v>
      </c>
      <c r="H36" s="173">
        <v>46234</v>
      </c>
      <c r="J36" s="171">
        <v>650</v>
      </c>
      <c r="K36" s="171">
        <v>672.43</v>
      </c>
      <c r="L36" s="171">
        <v>650</v>
      </c>
      <c r="M36" s="171">
        <v>0</v>
      </c>
      <c r="N36" s="171">
        <v>250</v>
      </c>
    </row>
    <row r="37" spans="1:14">
      <c r="A37" s="171" t="s">
        <v>1362</v>
      </c>
      <c r="B37" s="171" t="s">
        <v>886</v>
      </c>
      <c r="C37" s="171">
        <v>180</v>
      </c>
      <c r="D37" s="171" t="s">
        <v>869</v>
      </c>
      <c r="E37" s="171" t="s">
        <v>1361</v>
      </c>
      <c r="F37" s="173">
        <v>46146</v>
      </c>
      <c r="G37" s="173">
        <v>46146</v>
      </c>
      <c r="H37" s="173">
        <v>46234</v>
      </c>
      <c r="J37" s="172">
        <v>1450</v>
      </c>
      <c r="K37" s="171">
        <v>693</v>
      </c>
      <c r="L37" s="171">
        <v>693</v>
      </c>
      <c r="M37" s="171">
        <v>0</v>
      </c>
      <c r="N37" s="171">
        <v>0</v>
      </c>
    </row>
    <row r="38" spans="1:14">
      <c r="A38" s="171" t="s">
        <v>1360</v>
      </c>
      <c r="B38" s="171" t="s">
        <v>866</v>
      </c>
      <c r="C38" s="171">
        <v>75.75</v>
      </c>
      <c r="D38" s="171" t="s">
        <v>865</v>
      </c>
      <c r="E38" s="171" t="s">
        <v>864</v>
      </c>
      <c r="J38" s="172">
        <v>1200</v>
      </c>
      <c r="K38" s="171">
        <v>0</v>
      </c>
      <c r="L38" s="171">
        <v>0</v>
      </c>
      <c r="N38" s="171">
        <v>0</v>
      </c>
    </row>
    <row r="39" spans="1:14">
      <c r="A39" s="171" t="s">
        <v>1359</v>
      </c>
      <c r="B39" s="171" t="s">
        <v>866</v>
      </c>
      <c r="C39" s="171">
        <v>75.75</v>
      </c>
      <c r="D39" s="171" t="s">
        <v>869</v>
      </c>
      <c r="E39" s="171" t="s">
        <v>1358</v>
      </c>
      <c r="F39" s="173">
        <v>45505</v>
      </c>
      <c r="G39" s="173">
        <v>45860</v>
      </c>
      <c r="H39" s="173">
        <v>46227</v>
      </c>
      <c r="J39" s="171">
        <v>525</v>
      </c>
      <c r="K39" s="171">
        <v>608.09</v>
      </c>
      <c r="L39" s="171">
        <v>525</v>
      </c>
      <c r="M39" s="171">
        <v>0</v>
      </c>
      <c r="N39" s="171">
        <v>250</v>
      </c>
    </row>
    <row r="40" spans="1:14">
      <c r="A40" s="171" t="s">
        <v>1357</v>
      </c>
      <c r="B40" s="171" t="s">
        <v>866</v>
      </c>
      <c r="C40" s="171">
        <v>75.75</v>
      </c>
      <c r="D40" s="171" t="s">
        <v>871</v>
      </c>
      <c r="E40" s="171" t="s">
        <v>864</v>
      </c>
      <c r="J40" s="171">
        <v>600</v>
      </c>
      <c r="K40" s="171">
        <v>0</v>
      </c>
      <c r="L40" s="171">
        <v>0</v>
      </c>
      <c r="N40" s="171">
        <v>0</v>
      </c>
    </row>
    <row r="41" spans="1:14">
      <c r="A41" s="171" t="s">
        <v>1356</v>
      </c>
      <c r="B41" s="171" t="s">
        <v>866</v>
      </c>
      <c r="C41" s="171">
        <v>75.75</v>
      </c>
      <c r="D41" s="171" t="s">
        <v>869</v>
      </c>
      <c r="E41" s="171" t="s">
        <v>1355</v>
      </c>
      <c r="F41" s="173">
        <v>45513</v>
      </c>
      <c r="G41" s="173">
        <v>45860</v>
      </c>
      <c r="H41" s="173">
        <v>46227</v>
      </c>
      <c r="J41" s="171">
        <v>525</v>
      </c>
      <c r="K41" s="171">
        <v>608.09</v>
      </c>
      <c r="L41" s="171">
        <v>525</v>
      </c>
      <c r="M41" s="171">
        <v>0</v>
      </c>
      <c r="N41" s="171">
        <v>250</v>
      </c>
    </row>
    <row r="42" spans="1:14">
      <c r="A42" s="171" t="s">
        <v>1354</v>
      </c>
      <c r="B42" s="171" t="s">
        <v>866</v>
      </c>
      <c r="C42" s="171">
        <v>75.75</v>
      </c>
      <c r="D42" s="171" t="s">
        <v>869</v>
      </c>
      <c r="E42" s="171" t="s">
        <v>1353</v>
      </c>
      <c r="F42" s="173">
        <v>46037</v>
      </c>
      <c r="G42" s="173">
        <v>46176</v>
      </c>
      <c r="H42" s="173">
        <v>46599</v>
      </c>
      <c r="J42" s="171">
        <v>600</v>
      </c>
      <c r="K42" s="171">
        <v>575.02</v>
      </c>
      <c r="L42" s="171">
        <v>525</v>
      </c>
      <c r="M42" s="171">
        <v>0</v>
      </c>
      <c r="N42" s="171">
        <v>250</v>
      </c>
    </row>
    <row r="43" spans="1:14">
      <c r="A43" s="171" t="s">
        <v>1352</v>
      </c>
      <c r="B43" s="171" t="s">
        <v>866</v>
      </c>
      <c r="C43" s="171">
        <v>75.75</v>
      </c>
      <c r="D43" s="171" t="s">
        <v>869</v>
      </c>
      <c r="E43" s="171" t="s">
        <v>1351</v>
      </c>
      <c r="F43" s="173">
        <v>46037</v>
      </c>
      <c r="G43" s="173">
        <v>46174</v>
      </c>
      <c r="H43" s="173">
        <v>46387</v>
      </c>
      <c r="J43" s="171">
        <v>600</v>
      </c>
      <c r="K43" s="171">
        <v>587.02</v>
      </c>
      <c r="L43" s="171">
        <v>550</v>
      </c>
      <c r="M43" s="171">
        <v>0</v>
      </c>
      <c r="N43" s="171">
        <v>250</v>
      </c>
    </row>
    <row r="44" spans="1:14">
      <c r="A44" s="171" t="s">
        <v>1350</v>
      </c>
      <c r="B44" s="171" t="s">
        <v>866</v>
      </c>
      <c r="C44" s="171">
        <v>75.75</v>
      </c>
      <c r="D44" s="171" t="s">
        <v>951</v>
      </c>
      <c r="E44" s="171" t="s">
        <v>864</v>
      </c>
      <c r="J44" s="172">
        <v>1950</v>
      </c>
      <c r="K44" s="171">
        <v>0</v>
      </c>
      <c r="L44" s="171">
        <v>0</v>
      </c>
    </row>
    <row r="45" spans="1:14">
      <c r="A45" s="171" t="s">
        <v>1349</v>
      </c>
      <c r="B45" s="171" t="s">
        <v>866</v>
      </c>
      <c r="C45" s="171">
        <v>75.75</v>
      </c>
      <c r="D45" s="171" t="s">
        <v>865</v>
      </c>
      <c r="E45" s="171" t="s">
        <v>864</v>
      </c>
      <c r="J45" s="171">
        <v>600</v>
      </c>
      <c r="K45" s="171">
        <v>0</v>
      </c>
      <c r="L45" s="171">
        <v>0</v>
      </c>
      <c r="N45" s="171">
        <v>0</v>
      </c>
    </row>
    <row r="46" spans="1:14">
      <c r="A46" s="171" t="s">
        <v>1348</v>
      </c>
      <c r="B46" s="171" t="s">
        <v>866</v>
      </c>
      <c r="C46" s="171">
        <v>131.25</v>
      </c>
      <c r="D46" s="171" t="s">
        <v>869</v>
      </c>
      <c r="E46" s="171" t="s">
        <v>1347</v>
      </c>
      <c r="F46" s="173">
        <v>45870</v>
      </c>
      <c r="G46" s="173">
        <v>45870</v>
      </c>
      <c r="H46" s="173">
        <v>46227</v>
      </c>
      <c r="J46" s="171">
        <v>525</v>
      </c>
      <c r="K46" s="171">
        <v>488.86</v>
      </c>
      <c r="L46" s="171">
        <v>450</v>
      </c>
      <c r="M46" s="171">
        <v>0</v>
      </c>
      <c r="N46" s="171">
        <v>250</v>
      </c>
    </row>
    <row r="47" spans="1:14">
      <c r="A47" s="171" t="s">
        <v>1346</v>
      </c>
      <c r="B47" s="171" t="s">
        <v>866</v>
      </c>
      <c r="C47" s="171">
        <v>131.25</v>
      </c>
      <c r="D47" s="171" t="s">
        <v>865</v>
      </c>
      <c r="E47" s="171" t="s">
        <v>864</v>
      </c>
      <c r="J47" s="171">
        <v>600</v>
      </c>
      <c r="K47" s="171">
        <v>0</v>
      </c>
      <c r="L47" s="171">
        <v>0</v>
      </c>
      <c r="N47" s="171">
        <v>0</v>
      </c>
    </row>
    <row r="48" spans="1:14">
      <c r="A48" s="171" t="s">
        <v>1345</v>
      </c>
      <c r="B48" s="171" t="s">
        <v>866</v>
      </c>
      <c r="C48" s="171">
        <v>131.25</v>
      </c>
      <c r="D48" s="171" t="s">
        <v>918</v>
      </c>
      <c r="E48" s="171" t="s">
        <v>1344</v>
      </c>
      <c r="F48" s="173">
        <v>45506</v>
      </c>
      <c r="G48" s="173">
        <v>45860</v>
      </c>
      <c r="H48" s="173">
        <v>46227</v>
      </c>
      <c r="I48" s="173">
        <v>46227</v>
      </c>
      <c r="J48" s="172">
        <v>1050</v>
      </c>
      <c r="K48" s="171">
        <v>538.86</v>
      </c>
      <c r="L48" s="171">
        <v>500</v>
      </c>
      <c r="M48" s="171">
        <v>0</v>
      </c>
      <c r="N48" s="171">
        <v>250</v>
      </c>
    </row>
    <row r="49" spans="1:14">
      <c r="A49" s="171" t="s">
        <v>1343</v>
      </c>
      <c r="B49" s="171" t="s">
        <v>866</v>
      </c>
      <c r="C49" s="171">
        <v>131.25</v>
      </c>
      <c r="D49" s="171" t="s">
        <v>865</v>
      </c>
      <c r="E49" s="171" t="s">
        <v>864</v>
      </c>
      <c r="J49" s="171">
        <v>600</v>
      </c>
      <c r="K49" s="171">
        <v>0</v>
      </c>
      <c r="L49" s="171">
        <v>0</v>
      </c>
      <c r="N49" s="171">
        <v>0</v>
      </c>
    </row>
    <row r="50" spans="1:14">
      <c r="A50" s="171" t="s">
        <v>1342</v>
      </c>
      <c r="B50" s="171" t="s">
        <v>881</v>
      </c>
      <c r="C50" s="171">
        <v>300</v>
      </c>
      <c r="D50" s="171" t="s">
        <v>918</v>
      </c>
      <c r="E50" s="171" t="s">
        <v>1341</v>
      </c>
      <c r="F50" s="173">
        <v>45778</v>
      </c>
      <c r="G50" s="173">
        <v>45778</v>
      </c>
      <c r="H50" s="173">
        <v>46227</v>
      </c>
      <c r="I50" s="173">
        <v>46227</v>
      </c>
      <c r="J50" s="171">
        <v>600</v>
      </c>
      <c r="K50" s="171">
        <v>638.27</v>
      </c>
      <c r="L50" s="171">
        <v>599</v>
      </c>
      <c r="M50" s="171">
        <v>0</v>
      </c>
      <c r="N50" s="171">
        <v>250</v>
      </c>
    </row>
    <row r="51" spans="1:14">
      <c r="A51" s="171" t="s">
        <v>1340</v>
      </c>
      <c r="B51" s="171" t="s">
        <v>881</v>
      </c>
      <c r="C51" s="171">
        <v>300</v>
      </c>
      <c r="D51" s="171" t="s">
        <v>918</v>
      </c>
      <c r="E51" s="171" t="s">
        <v>1339</v>
      </c>
      <c r="F51" s="173">
        <v>45778</v>
      </c>
      <c r="G51" s="173">
        <v>45778</v>
      </c>
      <c r="H51" s="173">
        <v>46227</v>
      </c>
      <c r="I51" s="173">
        <v>46227</v>
      </c>
      <c r="J51" s="172">
        <v>1200</v>
      </c>
      <c r="K51" s="171">
        <v>711.11</v>
      </c>
      <c r="L51" s="171">
        <v>599</v>
      </c>
      <c r="M51" s="171">
        <v>0</v>
      </c>
      <c r="N51" s="171">
        <v>250</v>
      </c>
    </row>
    <row r="52" spans="1:14">
      <c r="A52" s="171" t="s">
        <v>1338</v>
      </c>
      <c r="B52" s="171" t="s">
        <v>876</v>
      </c>
      <c r="C52" s="171">
        <v>262.5</v>
      </c>
      <c r="D52" s="171" t="s">
        <v>869</v>
      </c>
      <c r="E52" s="171" t="s">
        <v>1336</v>
      </c>
      <c r="F52" s="173">
        <v>46183</v>
      </c>
      <c r="G52" s="173">
        <v>46184</v>
      </c>
      <c r="H52" s="173">
        <v>46387</v>
      </c>
      <c r="J52" s="171">
        <v>549</v>
      </c>
      <c r="K52" s="171">
        <v>461.35</v>
      </c>
      <c r="L52" s="171">
        <v>599</v>
      </c>
      <c r="M52" s="171">
        <v>0</v>
      </c>
      <c r="N52" s="171">
        <v>125</v>
      </c>
    </row>
    <row r="53" spans="1:14">
      <c r="A53" s="171" t="s">
        <v>1337</v>
      </c>
      <c r="B53" s="171" t="s">
        <v>876</v>
      </c>
      <c r="C53" s="171">
        <v>262.5</v>
      </c>
      <c r="D53" s="171" t="s">
        <v>869</v>
      </c>
      <c r="E53" s="171" t="s">
        <v>1336</v>
      </c>
      <c r="F53" s="173">
        <v>46183</v>
      </c>
      <c r="G53" s="173">
        <v>46184</v>
      </c>
      <c r="H53" s="173">
        <v>46387</v>
      </c>
      <c r="J53" s="171">
        <v>624</v>
      </c>
      <c r="K53" s="171">
        <v>461.35</v>
      </c>
      <c r="L53" s="171">
        <v>599</v>
      </c>
      <c r="M53" s="171">
        <v>0</v>
      </c>
      <c r="N53" s="171">
        <v>125</v>
      </c>
    </row>
    <row r="54" spans="1:14">
      <c r="A54" s="171" t="s">
        <v>1335</v>
      </c>
      <c r="B54" s="171" t="s">
        <v>886</v>
      </c>
      <c r="C54" s="171">
        <v>180</v>
      </c>
      <c r="D54" s="171" t="s">
        <v>869</v>
      </c>
      <c r="E54" s="171" t="s">
        <v>1334</v>
      </c>
      <c r="F54" s="173">
        <v>46059</v>
      </c>
      <c r="G54" s="173">
        <v>46059</v>
      </c>
      <c r="H54" s="173">
        <v>46234</v>
      </c>
      <c r="J54" s="171">
        <v>725</v>
      </c>
      <c r="K54" s="171">
        <v>756.38</v>
      </c>
      <c r="L54" s="171">
        <v>650</v>
      </c>
      <c r="M54" s="171">
        <v>0</v>
      </c>
      <c r="N54" s="171">
        <v>250</v>
      </c>
    </row>
    <row r="55" spans="1:14">
      <c r="A55" s="171" t="s">
        <v>1333</v>
      </c>
      <c r="B55" s="171" t="s">
        <v>886</v>
      </c>
      <c r="C55" s="171">
        <v>180</v>
      </c>
      <c r="D55" s="171" t="s">
        <v>869</v>
      </c>
      <c r="E55" s="171" t="s">
        <v>1332</v>
      </c>
      <c r="F55" s="173">
        <v>46059</v>
      </c>
      <c r="G55" s="173">
        <v>46059</v>
      </c>
      <c r="H55" s="173">
        <v>46234</v>
      </c>
      <c r="J55" s="172">
        <v>1450</v>
      </c>
      <c r="K55" s="171">
        <v>743.38</v>
      </c>
      <c r="L55" s="171">
        <v>650</v>
      </c>
      <c r="M55" s="171">
        <v>0</v>
      </c>
      <c r="N55" s="171">
        <v>250</v>
      </c>
    </row>
    <row r="56" spans="1:14">
      <c r="A56" s="171" t="s">
        <v>1331</v>
      </c>
      <c r="B56" s="171" t="s">
        <v>886</v>
      </c>
      <c r="C56" s="171">
        <v>180</v>
      </c>
      <c r="D56" s="171" t="s">
        <v>869</v>
      </c>
      <c r="E56" s="171" t="s">
        <v>1330</v>
      </c>
      <c r="F56" s="173">
        <v>46175</v>
      </c>
      <c r="G56" s="173">
        <v>46175</v>
      </c>
      <c r="H56" s="173">
        <v>46599</v>
      </c>
      <c r="J56" s="171">
        <v>725</v>
      </c>
      <c r="K56" s="171">
        <v>625.1</v>
      </c>
      <c r="L56" s="171">
        <v>650</v>
      </c>
      <c r="M56" s="171">
        <v>100</v>
      </c>
      <c r="N56" s="171">
        <v>250</v>
      </c>
    </row>
    <row r="57" spans="1:14">
      <c r="A57" s="171" t="s">
        <v>1329</v>
      </c>
      <c r="B57" s="171" t="s">
        <v>886</v>
      </c>
      <c r="C57" s="171">
        <v>180</v>
      </c>
      <c r="D57" s="171" t="s">
        <v>869</v>
      </c>
      <c r="E57" s="171" t="s">
        <v>1328</v>
      </c>
      <c r="F57" s="173">
        <v>46185</v>
      </c>
      <c r="G57" s="173">
        <v>46185</v>
      </c>
      <c r="H57" s="173">
        <v>46538</v>
      </c>
      <c r="J57" s="172">
        <v>1450</v>
      </c>
      <c r="K57" s="171">
        <v>542.4</v>
      </c>
      <c r="L57" s="171">
        <v>725</v>
      </c>
      <c r="M57" s="171">
        <v>0</v>
      </c>
      <c r="N57" s="171">
        <v>250</v>
      </c>
    </row>
    <row r="58" spans="1:14">
      <c r="A58" s="171" t="s">
        <v>1327</v>
      </c>
      <c r="B58" s="171" t="s">
        <v>886</v>
      </c>
      <c r="C58" s="171">
        <v>180</v>
      </c>
      <c r="D58" s="171" t="s">
        <v>869</v>
      </c>
      <c r="E58" s="171" t="s">
        <v>1326</v>
      </c>
      <c r="F58" s="173">
        <v>46159</v>
      </c>
      <c r="G58" s="173">
        <v>46159</v>
      </c>
      <c r="H58" s="173">
        <v>46301</v>
      </c>
      <c r="J58" s="171">
        <v>725</v>
      </c>
      <c r="K58" s="171">
        <v>855.43</v>
      </c>
      <c r="L58" s="171">
        <v>770</v>
      </c>
      <c r="M58" s="171">
        <v>0</v>
      </c>
      <c r="N58" s="171">
        <v>250</v>
      </c>
    </row>
    <row r="59" spans="1:14">
      <c r="A59" s="171" t="s">
        <v>1325</v>
      </c>
      <c r="B59" s="171" t="s">
        <v>886</v>
      </c>
      <c r="C59" s="171">
        <v>180</v>
      </c>
      <c r="D59" s="171" t="s">
        <v>869</v>
      </c>
      <c r="E59" s="171" t="s">
        <v>1324</v>
      </c>
      <c r="F59" s="173">
        <v>46157</v>
      </c>
      <c r="G59" s="173">
        <v>46157</v>
      </c>
      <c r="H59" s="173">
        <v>46592</v>
      </c>
      <c r="J59" s="172">
        <v>1450</v>
      </c>
      <c r="K59" s="171">
        <v>650</v>
      </c>
      <c r="L59" s="171">
        <v>650</v>
      </c>
      <c r="M59" s="171">
        <v>0</v>
      </c>
      <c r="N59" s="171">
        <v>250</v>
      </c>
    </row>
    <row r="60" spans="1:14">
      <c r="A60" s="171" t="s">
        <v>1323</v>
      </c>
      <c r="B60" s="171" t="s">
        <v>886</v>
      </c>
      <c r="C60" s="171">
        <v>180</v>
      </c>
      <c r="D60" s="171" t="s">
        <v>918</v>
      </c>
      <c r="E60" s="171" t="s">
        <v>1322</v>
      </c>
      <c r="F60" s="173">
        <v>45890</v>
      </c>
      <c r="G60" s="173">
        <v>45890</v>
      </c>
      <c r="H60" s="173">
        <v>46227</v>
      </c>
      <c r="I60" s="173">
        <v>46227</v>
      </c>
      <c r="J60" s="171">
        <v>650</v>
      </c>
      <c r="K60" s="171">
        <v>700.9</v>
      </c>
      <c r="L60" s="171">
        <v>650</v>
      </c>
      <c r="M60" s="171">
        <v>0</v>
      </c>
      <c r="N60" s="171">
        <v>250</v>
      </c>
    </row>
    <row r="61" spans="1:14">
      <c r="A61" s="171" t="s">
        <v>1321</v>
      </c>
      <c r="B61" s="171" t="s">
        <v>886</v>
      </c>
      <c r="C61" s="171">
        <v>180</v>
      </c>
      <c r="D61" s="171" t="s">
        <v>871</v>
      </c>
      <c r="E61" s="171" t="s">
        <v>864</v>
      </c>
      <c r="J61" s="171">
        <v>650</v>
      </c>
      <c r="K61" s="171">
        <v>0</v>
      </c>
      <c r="L61" s="171">
        <v>0</v>
      </c>
      <c r="N61" s="171">
        <v>0</v>
      </c>
    </row>
    <row r="62" spans="1:14">
      <c r="A62" s="171" t="s">
        <v>1320</v>
      </c>
      <c r="B62" s="171" t="s">
        <v>866</v>
      </c>
      <c r="C62" s="171">
        <v>75.75</v>
      </c>
      <c r="D62" s="171" t="s">
        <v>865</v>
      </c>
      <c r="E62" s="171" t="s">
        <v>864</v>
      </c>
      <c r="J62" s="171">
        <v>600</v>
      </c>
      <c r="K62" s="171">
        <v>0</v>
      </c>
      <c r="L62" s="171">
        <v>0</v>
      </c>
      <c r="N62" s="171">
        <v>0</v>
      </c>
    </row>
    <row r="63" spans="1:14">
      <c r="A63" s="171" t="s">
        <v>1319</v>
      </c>
      <c r="B63" s="171" t="s">
        <v>866</v>
      </c>
      <c r="C63" s="171">
        <v>75.75</v>
      </c>
      <c r="D63" s="171" t="s">
        <v>869</v>
      </c>
      <c r="E63" s="171" t="s">
        <v>1318</v>
      </c>
      <c r="F63" s="173">
        <v>45871</v>
      </c>
      <c r="G63" s="173">
        <v>45890</v>
      </c>
      <c r="H63" s="173">
        <v>46227</v>
      </c>
      <c r="J63" s="171">
        <v>525</v>
      </c>
      <c r="K63" s="171">
        <v>539.70000000000005</v>
      </c>
      <c r="L63" s="171">
        <v>500</v>
      </c>
      <c r="M63" s="171">
        <v>0</v>
      </c>
      <c r="N63" s="171">
        <v>250</v>
      </c>
    </row>
    <row r="64" spans="1:14">
      <c r="A64" s="171" t="s">
        <v>1317</v>
      </c>
      <c r="B64" s="171" t="s">
        <v>866</v>
      </c>
      <c r="C64" s="171">
        <v>75.75</v>
      </c>
      <c r="D64" s="171" t="s">
        <v>869</v>
      </c>
      <c r="E64" s="171" t="s">
        <v>1316</v>
      </c>
      <c r="F64" s="173">
        <v>45890</v>
      </c>
      <c r="G64" s="173">
        <v>45890</v>
      </c>
      <c r="H64" s="173">
        <v>46227</v>
      </c>
      <c r="J64" s="171">
        <v>525</v>
      </c>
      <c r="K64" s="171">
        <v>489.7</v>
      </c>
      <c r="L64" s="171">
        <v>450</v>
      </c>
      <c r="M64" s="171">
        <v>0</v>
      </c>
      <c r="N64" s="171">
        <v>250</v>
      </c>
    </row>
    <row r="65" spans="1:14">
      <c r="A65" s="171" t="s">
        <v>1315</v>
      </c>
      <c r="B65" s="171" t="s">
        <v>866</v>
      </c>
      <c r="C65" s="171">
        <v>75.75</v>
      </c>
      <c r="D65" s="171" t="s">
        <v>869</v>
      </c>
      <c r="E65" s="171" t="s">
        <v>1314</v>
      </c>
      <c r="F65" s="173">
        <v>45870</v>
      </c>
      <c r="G65" s="173">
        <v>45870</v>
      </c>
      <c r="H65" s="173">
        <v>46227</v>
      </c>
      <c r="J65" s="171">
        <v>525</v>
      </c>
      <c r="K65" s="171">
        <v>589.65</v>
      </c>
      <c r="L65" s="171">
        <v>500</v>
      </c>
      <c r="M65" s="171">
        <v>0</v>
      </c>
      <c r="N65" s="171">
        <v>250</v>
      </c>
    </row>
    <row r="66" spans="1:14">
      <c r="A66" s="171" t="s">
        <v>1313</v>
      </c>
      <c r="B66" s="171" t="s">
        <v>866</v>
      </c>
      <c r="C66" s="171">
        <v>75.75</v>
      </c>
      <c r="D66" s="171" t="s">
        <v>865</v>
      </c>
      <c r="E66" s="171" t="s">
        <v>864</v>
      </c>
      <c r="J66" s="171">
        <v>600</v>
      </c>
      <c r="K66" s="171">
        <v>0</v>
      </c>
      <c r="L66" s="171">
        <v>0</v>
      </c>
      <c r="N66" s="171">
        <v>0</v>
      </c>
    </row>
    <row r="67" spans="1:14">
      <c r="A67" s="171" t="s">
        <v>1312</v>
      </c>
      <c r="B67" s="171" t="s">
        <v>866</v>
      </c>
      <c r="C67" s="171">
        <v>75.75</v>
      </c>
      <c r="D67" s="171" t="s">
        <v>869</v>
      </c>
      <c r="E67" s="171" t="s">
        <v>1311</v>
      </c>
      <c r="F67" s="173">
        <v>45566</v>
      </c>
      <c r="G67" s="173">
        <v>45860</v>
      </c>
      <c r="H67" s="173">
        <v>46227</v>
      </c>
      <c r="J67" s="171">
        <v>525</v>
      </c>
      <c r="K67" s="171">
        <v>541.29</v>
      </c>
      <c r="L67" s="171">
        <v>500</v>
      </c>
      <c r="M67" s="171">
        <v>0</v>
      </c>
      <c r="N67" s="171">
        <v>250</v>
      </c>
    </row>
    <row r="68" spans="1:14">
      <c r="A68" s="171" t="s">
        <v>1310</v>
      </c>
      <c r="B68" s="171" t="s">
        <v>866</v>
      </c>
      <c r="C68" s="171">
        <v>75.75</v>
      </c>
      <c r="D68" s="171" t="s">
        <v>869</v>
      </c>
      <c r="E68" s="171" t="s">
        <v>1309</v>
      </c>
      <c r="F68" s="173">
        <v>46174</v>
      </c>
      <c r="G68" s="173">
        <v>46174</v>
      </c>
      <c r="H68" s="173">
        <v>46592</v>
      </c>
      <c r="J68" s="172">
        <v>1950</v>
      </c>
      <c r="K68" s="171">
        <v>362.13</v>
      </c>
      <c r="L68" s="171">
        <v>525</v>
      </c>
      <c r="M68" s="171">
        <v>12.13</v>
      </c>
      <c r="N68" s="171">
        <v>250</v>
      </c>
    </row>
    <row r="69" spans="1:14">
      <c r="A69" s="171" t="s">
        <v>1308</v>
      </c>
      <c r="B69" s="171" t="s">
        <v>866</v>
      </c>
      <c r="C69" s="171">
        <v>75.75</v>
      </c>
      <c r="D69" s="171" t="s">
        <v>869</v>
      </c>
      <c r="E69" s="171" t="s">
        <v>1307</v>
      </c>
      <c r="F69" s="173">
        <v>46174</v>
      </c>
      <c r="G69" s="173">
        <v>46174</v>
      </c>
      <c r="H69" s="173">
        <v>46592</v>
      </c>
      <c r="J69" s="172">
        <v>1200</v>
      </c>
      <c r="K69" s="171">
        <v>113</v>
      </c>
      <c r="L69" s="171">
        <v>525</v>
      </c>
      <c r="M69" s="171">
        <v>0</v>
      </c>
      <c r="N69" s="171">
        <v>250</v>
      </c>
    </row>
    <row r="70" spans="1:14">
      <c r="A70" s="171" t="s">
        <v>1306</v>
      </c>
      <c r="B70" s="171" t="s">
        <v>866</v>
      </c>
      <c r="C70" s="171">
        <v>75.75</v>
      </c>
      <c r="D70" s="171" t="s">
        <v>869</v>
      </c>
      <c r="E70" s="171" t="s">
        <v>1305</v>
      </c>
      <c r="F70" s="173">
        <v>45809</v>
      </c>
      <c r="G70" s="173">
        <v>45860</v>
      </c>
      <c r="H70" s="173">
        <v>46227</v>
      </c>
      <c r="J70" s="171">
        <v>525</v>
      </c>
      <c r="K70" s="171">
        <v>573.79</v>
      </c>
      <c r="L70" s="171">
        <v>525</v>
      </c>
      <c r="M70" s="171">
        <v>0</v>
      </c>
      <c r="N70" s="171">
        <v>250</v>
      </c>
    </row>
    <row r="71" spans="1:14">
      <c r="A71" s="171" t="s">
        <v>1304</v>
      </c>
      <c r="B71" s="171" t="s">
        <v>866</v>
      </c>
      <c r="C71" s="171">
        <v>75.75</v>
      </c>
      <c r="D71" s="171" t="s">
        <v>918</v>
      </c>
      <c r="E71" s="171" t="s">
        <v>1303</v>
      </c>
      <c r="F71" s="173">
        <v>45141</v>
      </c>
      <c r="G71" s="173">
        <v>45860</v>
      </c>
      <c r="H71" s="173">
        <v>46227</v>
      </c>
      <c r="I71" s="173">
        <v>46227</v>
      </c>
      <c r="J71" s="172">
        <v>1900</v>
      </c>
      <c r="K71" s="171">
        <v>548.79</v>
      </c>
      <c r="L71" s="171">
        <v>500</v>
      </c>
      <c r="M71" s="171">
        <v>-575</v>
      </c>
      <c r="N71" s="171">
        <v>250</v>
      </c>
    </row>
    <row r="72" spans="1:14">
      <c r="A72" s="171" t="s">
        <v>1302</v>
      </c>
      <c r="B72" s="171" t="s">
        <v>866</v>
      </c>
      <c r="C72" s="171">
        <v>75.75</v>
      </c>
      <c r="D72" s="171" t="s">
        <v>918</v>
      </c>
      <c r="E72" s="171" t="s">
        <v>1301</v>
      </c>
      <c r="F72" s="173">
        <v>45883</v>
      </c>
      <c r="G72" s="173">
        <v>45890</v>
      </c>
      <c r="H72" s="173">
        <v>46227</v>
      </c>
      <c r="I72" s="173">
        <v>46227</v>
      </c>
      <c r="J72" s="172">
        <v>1900</v>
      </c>
      <c r="K72" s="171">
        <v>498.79</v>
      </c>
      <c r="L72" s="171">
        <v>450</v>
      </c>
      <c r="M72" s="171">
        <v>0</v>
      </c>
      <c r="N72" s="171">
        <v>250</v>
      </c>
    </row>
    <row r="73" spans="1:14">
      <c r="A73" s="171" t="s">
        <v>1300</v>
      </c>
      <c r="B73" s="171" t="s">
        <v>866</v>
      </c>
      <c r="C73" s="171">
        <v>75.75</v>
      </c>
      <c r="D73" s="171" t="s">
        <v>865</v>
      </c>
      <c r="E73" s="171" t="s">
        <v>864</v>
      </c>
      <c r="J73" s="171">
        <v>600</v>
      </c>
      <c r="K73" s="171">
        <v>0</v>
      </c>
      <c r="L73" s="171">
        <v>0</v>
      </c>
      <c r="N73" s="171">
        <v>0</v>
      </c>
    </row>
    <row r="74" spans="1:14">
      <c r="A74" s="171" t="s">
        <v>1299</v>
      </c>
      <c r="B74" s="171" t="s">
        <v>866</v>
      </c>
      <c r="C74" s="171">
        <v>75.75</v>
      </c>
      <c r="D74" s="171" t="s">
        <v>869</v>
      </c>
      <c r="E74" s="171" t="s">
        <v>1298</v>
      </c>
      <c r="F74" s="173">
        <v>45864</v>
      </c>
      <c r="G74" s="173">
        <v>45864</v>
      </c>
      <c r="H74" s="173">
        <v>46227</v>
      </c>
      <c r="J74" s="171">
        <v>525</v>
      </c>
      <c r="K74" s="171">
        <v>506.01</v>
      </c>
      <c r="L74" s="171">
        <v>475</v>
      </c>
      <c r="M74" s="171">
        <v>0</v>
      </c>
      <c r="N74" s="171">
        <v>250</v>
      </c>
    </row>
    <row r="75" spans="1:14">
      <c r="A75" s="171" t="s">
        <v>1297</v>
      </c>
      <c r="B75" s="171" t="s">
        <v>866</v>
      </c>
      <c r="C75" s="171">
        <v>75.75</v>
      </c>
      <c r="D75" s="171" t="s">
        <v>869</v>
      </c>
      <c r="E75" s="171" t="s">
        <v>1296</v>
      </c>
      <c r="F75" s="173">
        <v>45870</v>
      </c>
      <c r="G75" s="173">
        <v>45870</v>
      </c>
      <c r="H75" s="173">
        <v>46227</v>
      </c>
      <c r="J75" s="171">
        <v>525</v>
      </c>
      <c r="K75" s="171">
        <v>553.46</v>
      </c>
      <c r="L75" s="171">
        <v>475</v>
      </c>
      <c r="M75" s="171">
        <v>554.63</v>
      </c>
      <c r="N75" s="171">
        <v>250</v>
      </c>
    </row>
    <row r="76" spans="1:14">
      <c r="A76" s="171" t="s">
        <v>1295</v>
      </c>
      <c r="B76" s="171" t="s">
        <v>866</v>
      </c>
      <c r="C76" s="171">
        <v>75.75</v>
      </c>
      <c r="D76" s="171" t="s">
        <v>869</v>
      </c>
      <c r="E76" s="171" t="s">
        <v>1294</v>
      </c>
      <c r="F76" s="173">
        <v>45863</v>
      </c>
      <c r="G76" s="173">
        <v>45863</v>
      </c>
      <c r="H76" s="173">
        <v>46227</v>
      </c>
      <c r="J76" s="171">
        <v>525</v>
      </c>
      <c r="K76" s="171">
        <v>519.01</v>
      </c>
      <c r="L76" s="171">
        <v>475</v>
      </c>
      <c r="M76" s="171">
        <v>0</v>
      </c>
      <c r="N76" s="171">
        <v>250</v>
      </c>
    </row>
    <row r="77" spans="1:14">
      <c r="A77" s="171" t="s">
        <v>1293</v>
      </c>
      <c r="B77" s="171" t="s">
        <v>866</v>
      </c>
      <c r="C77" s="171">
        <v>75.75</v>
      </c>
      <c r="D77" s="171" t="s">
        <v>869</v>
      </c>
      <c r="E77" s="171" t="s">
        <v>1292</v>
      </c>
      <c r="F77" s="173">
        <v>46143</v>
      </c>
      <c r="G77" s="173">
        <v>46143</v>
      </c>
      <c r="H77" s="173">
        <v>46592</v>
      </c>
      <c r="J77" s="171">
        <v>525</v>
      </c>
      <c r="K77" s="171">
        <v>525</v>
      </c>
      <c r="L77" s="171">
        <v>525</v>
      </c>
      <c r="M77" s="171">
        <v>-300</v>
      </c>
      <c r="N77" s="171">
        <v>0</v>
      </c>
    </row>
    <row r="78" spans="1:14">
      <c r="A78" s="171" t="s">
        <v>1291</v>
      </c>
      <c r="B78" s="171" t="s">
        <v>886</v>
      </c>
      <c r="C78" s="171">
        <v>180</v>
      </c>
      <c r="D78" s="171" t="s">
        <v>918</v>
      </c>
      <c r="E78" s="171" t="s">
        <v>1290</v>
      </c>
      <c r="F78" s="173">
        <v>45878</v>
      </c>
      <c r="G78" s="173">
        <v>45890</v>
      </c>
      <c r="H78" s="173">
        <v>46227</v>
      </c>
      <c r="I78" s="173">
        <v>46227</v>
      </c>
      <c r="J78" s="171">
        <v>650</v>
      </c>
      <c r="K78" s="171">
        <v>746.16</v>
      </c>
      <c r="L78" s="171">
        <v>675</v>
      </c>
      <c r="M78" s="171">
        <v>0</v>
      </c>
      <c r="N78" s="171">
        <v>250</v>
      </c>
    </row>
    <row r="79" spans="1:14">
      <c r="A79" s="171" t="s">
        <v>1289</v>
      </c>
      <c r="B79" s="171" t="s">
        <v>886</v>
      </c>
      <c r="C79" s="171">
        <v>180</v>
      </c>
      <c r="D79" s="171" t="s">
        <v>918</v>
      </c>
      <c r="E79" s="171" t="s">
        <v>1288</v>
      </c>
      <c r="F79" s="173">
        <v>45878</v>
      </c>
      <c r="G79" s="173">
        <v>45890</v>
      </c>
      <c r="H79" s="173">
        <v>46227</v>
      </c>
      <c r="I79" s="173">
        <v>46227</v>
      </c>
      <c r="J79" s="171">
        <v>650</v>
      </c>
      <c r="K79" s="171">
        <v>721.16</v>
      </c>
      <c r="L79" s="171">
        <v>650</v>
      </c>
      <c r="M79" s="171">
        <v>0</v>
      </c>
      <c r="N79" s="171">
        <v>250</v>
      </c>
    </row>
    <row r="80" spans="1:14">
      <c r="A80" s="171" t="s">
        <v>1287</v>
      </c>
      <c r="B80" s="171" t="s">
        <v>886</v>
      </c>
      <c r="C80" s="171">
        <v>180</v>
      </c>
      <c r="D80" s="171" t="s">
        <v>869</v>
      </c>
      <c r="E80" s="171" t="s">
        <v>1286</v>
      </c>
      <c r="F80" s="173">
        <v>46010</v>
      </c>
      <c r="G80" s="173">
        <v>46003</v>
      </c>
      <c r="H80" s="173">
        <v>46227</v>
      </c>
      <c r="J80" s="171">
        <v>650</v>
      </c>
      <c r="K80" s="171">
        <v>460.19</v>
      </c>
      <c r="L80" s="171">
        <v>650</v>
      </c>
      <c r="M80" s="171">
        <v>-250</v>
      </c>
      <c r="N80" s="171">
        <v>250</v>
      </c>
    </row>
    <row r="81" spans="1:14">
      <c r="A81" s="171" t="s">
        <v>1285</v>
      </c>
      <c r="B81" s="171" t="s">
        <v>886</v>
      </c>
      <c r="C81" s="171">
        <v>180</v>
      </c>
      <c r="D81" s="171" t="s">
        <v>869</v>
      </c>
      <c r="E81" s="171" t="s">
        <v>1284</v>
      </c>
      <c r="F81" s="173">
        <v>46003</v>
      </c>
      <c r="G81" s="173">
        <v>46003</v>
      </c>
      <c r="H81" s="173">
        <v>46227</v>
      </c>
      <c r="J81" s="171">
        <v>650</v>
      </c>
      <c r="K81" s="171">
        <v>723.19</v>
      </c>
      <c r="L81" s="171">
        <v>650</v>
      </c>
      <c r="M81" s="171">
        <v>0</v>
      </c>
      <c r="N81" s="171">
        <v>250</v>
      </c>
    </row>
    <row r="82" spans="1:14">
      <c r="A82" s="171" t="s">
        <v>1283</v>
      </c>
      <c r="B82" s="171" t="s">
        <v>886</v>
      </c>
      <c r="C82" s="171">
        <v>180</v>
      </c>
      <c r="D82" s="171" t="s">
        <v>918</v>
      </c>
      <c r="E82" s="171" t="s">
        <v>1282</v>
      </c>
      <c r="F82" s="173">
        <v>45878</v>
      </c>
      <c r="G82" s="173">
        <v>45878</v>
      </c>
      <c r="H82" s="173">
        <v>46227</v>
      </c>
      <c r="I82" s="173">
        <v>46227</v>
      </c>
      <c r="J82" s="171">
        <v>650</v>
      </c>
      <c r="K82" s="171">
        <v>747.21</v>
      </c>
      <c r="L82" s="171">
        <v>650</v>
      </c>
      <c r="M82" s="171">
        <v>504.21</v>
      </c>
      <c r="N82" s="171">
        <v>250</v>
      </c>
    </row>
    <row r="83" spans="1:14">
      <c r="A83" s="171" t="s">
        <v>1281</v>
      </c>
      <c r="B83" s="171" t="s">
        <v>886</v>
      </c>
      <c r="C83" s="171">
        <v>180</v>
      </c>
      <c r="D83" s="171" t="s">
        <v>871</v>
      </c>
      <c r="E83" s="171" t="s">
        <v>864</v>
      </c>
      <c r="J83" s="171">
        <v>650</v>
      </c>
      <c r="K83" s="171">
        <v>0</v>
      </c>
      <c r="L83" s="171">
        <v>0</v>
      </c>
      <c r="N83" s="171">
        <v>0</v>
      </c>
    </row>
    <row r="84" spans="1:14">
      <c r="A84" s="171" t="s">
        <v>1280</v>
      </c>
      <c r="B84" s="171" t="s">
        <v>886</v>
      </c>
      <c r="C84" s="171">
        <v>180</v>
      </c>
      <c r="D84" s="171" t="s">
        <v>990</v>
      </c>
      <c r="E84" s="171" t="s">
        <v>1278</v>
      </c>
      <c r="F84" s="173">
        <v>45812</v>
      </c>
      <c r="G84" s="173">
        <v>45813</v>
      </c>
      <c r="H84" s="173">
        <v>46227</v>
      </c>
      <c r="I84" s="173">
        <v>46227</v>
      </c>
      <c r="J84" s="171">
        <v>650</v>
      </c>
      <c r="K84" s="171">
        <v>694.41</v>
      </c>
      <c r="L84" s="171">
        <v>650</v>
      </c>
      <c r="M84" s="171">
        <v>0</v>
      </c>
      <c r="N84" s="171">
        <v>125</v>
      </c>
    </row>
    <row r="85" spans="1:14">
      <c r="A85" s="171" t="s">
        <v>1279</v>
      </c>
      <c r="B85" s="171" t="s">
        <v>886</v>
      </c>
      <c r="C85" s="171">
        <v>180</v>
      </c>
      <c r="D85" s="171" t="s">
        <v>918</v>
      </c>
      <c r="E85" s="171" t="s">
        <v>1278</v>
      </c>
      <c r="F85" s="173">
        <v>45812</v>
      </c>
      <c r="G85" s="173">
        <v>45813</v>
      </c>
      <c r="H85" s="173">
        <v>46227</v>
      </c>
      <c r="I85" s="173">
        <v>46227</v>
      </c>
      <c r="J85" s="171">
        <v>650</v>
      </c>
      <c r="K85" s="171">
        <v>694.41</v>
      </c>
      <c r="L85" s="171">
        <v>650</v>
      </c>
      <c r="M85" s="171">
        <v>0</v>
      </c>
      <c r="N85" s="171">
        <v>125</v>
      </c>
    </row>
    <row r="86" spans="1:14">
      <c r="A86" s="171" t="s">
        <v>1277</v>
      </c>
      <c r="B86" s="171" t="s">
        <v>866</v>
      </c>
      <c r="C86" s="171">
        <v>75.75</v>
      </c>
      <c r="D86" s="171" t="s">
        <v>865</v>
      </c>
      <c r="E86" s="171" t="s">
        <v>864</v>
      </c>
      <c r="J86" s="171">
        <v>600</v>
      </c>
      <c r="K86" s="171">
        <v>0</v>
      </c>
      <c r="L86" s="171">
        <v>0</v>
      </c>
      <c r="N86" s="171">
        <v>0</v>
      </c>
    </row>
    <row r="87" spans="1:14">
      <c r="A87" s="171" t="s">
        <v>1276</v>
      </c>
      <c r="B87" s="171" t="s">
        <v>866</v>
      </c>
      <c r="C87" s="171">
        <v>75.75</v>
      </c>
      <c r="D87" s="171" t="s">
        <v>869</v>
      </c>
      <c r="E87" s="171" t="s">
        <v>1275</v>
      </c>
      <c r="F87" s="173">
        <v>43335</v>
      </c>
      <c r="G87" s="173">
        <v>45860</v>
      </c>
      <c r="H87" s="173">
        <v>46227</v>
      </c>
      <c r="J87" s="171">
        <v>525</v>
      </c>
      <c r="K87" s="171">
        <v>573.34</v>
      </c>
      <c r="L87" s="171">
        <v>500</v>
      </c>
      <c r="M87" s="171">
        <v>-577.28</v>
      </c>
      <c r="N87" s="171">
        <v>250</v>
      </c>
    </row>
    <row r="88" spans="1:14">
      <c r="A88" s="171" t="s">
        <v>1274</v>
      </c>
      <c r="B88" s="171" t="s">
        <v>866</v>
      </c>
      <c r="C88" s="171">
        <v>75.75</v>
      </c>
      <c r="D88" s="171" t="s">
        <v>865</v>
      </c>
      <c r="E88" s="171" t="s">
        <v>864</v>
      </c>
      <c r="J88" s="172">
        <v>1200</v>
      </c>
      <c r="K88" s="171">
        <v>0</v>
      </c>
      <c r="L88" s="171">
        <v>0</v>
      </c>
      <c r="N88" s="171">
        <v>0</v>
      </c>
    </row>
    <row r="89" spans="1:14">
      <c r="A89" s="171" t="s">
        <v>1273</v>
      </c>
      <c r="B89" s="171" t="s">
        <v>866</v>
      </c>
      <c r="C89" s="171">
        <v>75.75</v>
      </c>
      <c r="D89" s="171" t="s">
        <v>865</v>
      </c>
      <c r="E89" s="171" t="s">
        <v>864</v>
      </c>
      <c r="J89" s="171">
        <v>600</v>
      </c>
      <c r="K89" s="171">
        <v>0</v>
      </c>
      <c r="L89" s="171">
        <v>0</v>
      </c>
      <c r="N89" s="171">
        <v>0</v>
      </c>
    </row>
    <row r="90" spans="1:14">
      <c r="A90" s="171" t="s">
        <v>1272</v>
      </c>
      <c r="B90" s="171" t="s">
        <v>866</v>
      </c>
      <c r="C90" s="171">
        <v>75.75</v>
      </c>
      <c r="D90" s="171" t="s">
        <v>918</v>
      </c>
      <c r="E90" s="171" t="s">
        <v>1271</v>
      </c>
      <c r="F90" s="173">
        <v>45413</v>
      </c>
      <c r="G90" s="173">
        <v>45860</v>
      </c>
      <c r="H90" s="173">
        <v>46227</v>
      </c>
      <c r="I90" s="173">
        <v>46227</v>
      </c>
      <c r="J90" s="171">
        <v>525</v>
      </c>
      <c r="K90" s="171">
        <v>537.73</v>
      </c>
      <c r="L90" s="171">
        <v>500</v>
      </c>
      <c r="M90" s="171">
        <v>-550</v>
      </c>
      <c r="N90" s="171">
        <v>250</v>
      </c>
    </row>
    <row r="91" spans="1:14">
      <c r="A91" s="171" t="s">
        <v>1270</v>
      </c>
      <c r="B91" s="171" t="s">
        <v>866</v>
      </c>
      <c r="C91" s="171">
        <v>75.75</v>
      </c>
      <c r="D91" s="171" t="s">
        <v>918</v>
      </c>
      <c r="E91" s="171" t="s">
        <v>1269</v>
      </c>
      <c r="F91" s="173">
        <v>45413</v>
      </c>
      <c r="G91" s="173">
        <v>45860</v>
      </c>
      <c r="H91" s="173">
        <v>46227</v>
      </c>
      <c r="I91" s="173">
        <v>46227</v>
      </c>
      <c r="J91" s="171">
        <v>525</v>
      </c>
      <c r="K91" s="171">
        <v>537.73</v>
      </c>
      <c r="L91" s="171">
        <v>500</v>
      </c>
      <c r="M91" s="171">
        <v>0</v>
      </c>
      <c r="N91" s="171">
        <v>250</v>
      </c>
    </row>
    <row r="92" spans="1:14">
      <c r="A92" s="171" t="s">
        <v>1268</v>
      </c>
      <c r="B92" s="171" t="s">
        <v>866</v>
      </c>
      <c r="C92" s="171">
        <v>75.75</v>
      </c>
      <c r="D92" s="171" t="s">
        <v>918</v>
      </c>
      <c r="E92" s="171" t="s">
        <v>1267</v>
      </c>
      <c r="F92" s="173">
        <v>45505</v>
      </c>
      <c r="G92" s="173">
        <v>45860</v>
      </c>
      <c r="H92" s="173">
        <v>46227</v>
      </c>
      <c r="I92" s="173">
        <v>46227</v>
      </c>
      <c r="J92" s="172">
        <v>1900</v>
      </c>
      <c r="K92" s="171">
        <v>550.73</v>
      </c>
      <c r="L92" s="171">
        <v>500</v>
      </c>
      <c r="M92" s="171">
        <v>0</v>
      </c>
      <c r="N92" s="171">
        <v>250</v>
      </c>
    </row>
    <row r="93" spans="1:14">
      <c r="A93" s="171" t="s">
        <v>1266</v>
      </c>
      <c r="B93" s="171" t="s">
        <v>866</v>
      </c>
      <c r="C93" s="171">
        <v>75.75</v>
      </c>
      <c r="D93" s="171" t="s">
        <v>869</v>
      </c>
      <c r="E93" s="171" t="s">
        <v>1265</v>
      </c>
      <c r="F93" s="173">
        <v>46157</v>
      </c>
      <c r="G93" s="173">
        <v>46157</v>
      </c>
      <c r="H93" s="173">
        <v>46592</v>
      </c>
      <c r="J93" s="172">
        <v>1950</v>
      </c>
      <c r="K93" s="171">
        <v>538</v>
      </c>
      <c r="L93" s="171">
        <v>525</v>
      </c>
      <c r="M93" s="171">
        <v>0</v>
      </c>
      <c r="N93" s="171">
        <v>250</v>
      </c>
    </row>
    <row r="94" spans="1:14">
      <c r="A94" s="171" t="s">
        <v>1264</v>
      </c>
      <c r="B94" s="171" t="s">
        <v>866</v>
      </c>
      <c r="C94" s="171">
        <v>75.75</v>
      </c>
      <c r="D94" s="171" t="s">
        <v>869</v>
      </c>
      <c r="E94" s="171" t="s">
        <v>1263</v>
      </c>
      <c r="F94" s="173">
        <v>46174</v>
      </c>
      <c r="G94" s="173">
        <v>46174</v>
      </c>
      <c r="H94" s="173">
        <v>46599</v>
      </c>
      <c r="J94" s="172">
        <v>1200</v>
      </c>
      <c r="K94" s="171">
        <v>600</v>
      </c>
      <c r="L94" s="171">
        <v>525</v>
      </c>
      <c r="M94" s="171">
        <v>0</v>
      </c>
      <c r="N94" s="171">
        <v>0</v>
      </c>
    </row>
    <row r="95" spans="1:14">
      <c r="A95" s="171" t="s">
        <v>1262</v>
      </c>
      <c r="B95" s="171" t="s">
        <v>866</v>
      </c>
      <c r="C95" s="171">
        <v>75.75</v>
      </c>
      <c r="D95" s="171" t="s">
        <v>951</v>
      </c>
      <c r="E95" s="171" t="s">
        <v>864</v>
      </c>
      <c r="J95" s="172">
        <v>1950</v>
      </c>
      <c r="K95" s="171">
        <v>0</v>
      </c>
      <c r="L95" s="171">
        <v>0</v>
      </c>
      <c r="N95" s="171">
        <v>0</v>
      </c>
    </row>
    <row r="96" spans="1:14">
      <c r="A96" s="171" t="s">
        <v>1261</v>
      </c>
      <c r="B96" s="171" t="s">
        <v>866</v>
      </c>
      <c r="C96" s="171">
        <v>75.75</v>
      </c>
      <c r="D96" s="171" t="s">
        <v>869</v>
      </c>
      <c r="E96" s="171" t="s">
        <v>1260</v>
      </c>
      <c r="F96" s="173">
        <v>46174</v>
      </c>
      <c r="G96" s="173">
        <v>46174</v>
      </c>
      <c r="H96" s="173">
        <v>46538</v>
      </c>
      <c r="J96" s="172">
        <v>1200</v>
      </c>
      <c r="K96" s="171">
        <v>688</v>
      </c>
      <c r="L96" s="171">
        <v>600</v>
      </c>
      <c r="M96" s="171">
        <v>13</v>
      </c>
      <c r="N96" s="171">
        <v>0</v>
      </c>
    </row>
    <row r="97" spans="1:14">
      <c r="A97" s="171" t="s">
        <v>1259</v>
      </c>
      <c r="B97" s="171" t="s">
        <v>866</v>
      </c>
      <c r="C97" s="171">
        <v>75.75</v>
      </c>
      <c r="D97" s="171" t="s">
        <v>869</v>
      </c>
      <c r="E97" s="171" t="s">
        <v>1258</v>
      </c>
      <c r="F97" s="173">
        <v>45538</v>
      </c>
      <c r="G97" s="173">
        <v>45860</v>
      </c>
      <c r="H97" s="173">
        <v>46227</v>
      </c>
      <c r="J97" s="171">
        <v>525</v>
      </c>
      <c r="K97" s="171">
        <v>604.88</v>
      </c>
      <c r="L97" s="171">
        <v>525</v>
      </c>
      <c r="M97" s="171">
        <v>0</v>
      </c>
      <c r="N97" s="171">
        <v>250</v>
      </c>
    </row>
    <row r="98" spans="1:14">
      <c r="A98" s="171" t="s">
        <v>1257</v>
      </c>
      <c r="B98" s="171" t="s">
        <v>866</v>
      </c>
      <c r="C98" s="171">
        <v>75.75</v>
      </c>
      <c r="D98" s="171" t="s">
        <v>869</v>
      </c>
      <c r="E98" s="171" t="s">
        <v>1256</v>
      </c>
      <c r="F98" s="173">
        <v>46143</v>
      </c>
      <c r="G98" s="173">
        <v>46143</v>
      </c>
      <c r="H98" s="173">
        <v>46599</v>
      </c>
      <c r="J98" s="172">
        <v>1200</v>
      </c>
      <c r="K98" s="171">
        <v>560</v>
      </c>
      <c r="L98" s="171">
        <v>560</v>
      </c>
      <c r="M98" s="171">
        <v>0</v>
      </c>
      <c r="N98" s="171">
        <v>250</v>
      </c>
    </row>
    <row r="99" spans="1:14">
      <c r="A99" s="171" t="s">
        <v>1255</v>
      </c>
      <c r="B99" s="171" t="s">
        <v>866</v>
      </c>
      <c r="C99" s="171">
        <v>75.75</v>
      </c>
      <c r="D99" s="171" t="s">
        <v>869</v>
      </c>
      <c r="E99" s="171" t="s">
        <v>1254</v>
      </c>
      <c r="F99" s="173">
        <v>46153</v>
      </c>
      <c r="G99" s="173">
        <v>46153</v>
      </c>
      <c r="H99" s="173">
        <v>46592</v>
      </c>
      <c r="J99" s="171">
        <v>600</v>
      </c>
      <c r="K99" s="171">
        <v>525</v>
      </c>
      <c r="L99" s="171">
        <v>525</v>
      </c>
      <c r="M99" s="171">
        <v>0</v>
      </c>
      <c r="N99" s="171">
        <v>250</v>
      </c>
    </row>
    <row r="100" spans="1:14">
      <c r="A100" s="171" t="s">
        <v>1253</v>
      </c>
      <c r="B100" s="171" t="s">
        <v>866</v>
      </c>
      <c r="C100" s="171">
        <v>75.75</v>
      </c>
      <c r="D100" s="171" t="s">
        <v>869</v>
      </c>
      <c r="E100" s="171" t="s">
        <v>1252</v>
      </c>
      <c r="F100" s="173">
        <v>45296</v>
      </c>
      <c r="G100" s="173">
        <v>45860</v>
      </c>
      <c r="H100" s="173">
        <v>46227</v>
      </c>
      <c r="J100" s="171">
        <v>525</v>
      </c>
      <c r="K100" s="171">
        <v>613.96</v>
      </c>
      <c r="L100" s="171">
        <v>525</v>
      </c>
      <c r="M100" s="171">
        <v>-600</v>
      </c>
      <c r="N100" s="171">
        <v>250</v>
      </c>
    </row>
    <row r="101" spans="1:14">
      <c r="A101" s="171" t="s">
        <v>1251</v>
      </c>
      <c r="B101" s="171" t="s">
        <v>866</v>
      </c>
      <c r="C101" s="171">
        <v>75.75</v>
      </c>
      <c r="D101" s="171" t="s">
        <v>865</v>
      </c>
      <c r="E101" s="171" t="s">
        <v>864</v>
      </c>
      <c r="J101" s="172">
        <v>1950</v>
      </c>
      <c r="K101" s="171">
        <v>0</v>
      </c>
      <c r="L101" s="171">
        <v>0</v>
      </c>
      <c r="N101" s="171">
        <v>0</v>
      </c>
    </row>
    <row r="102" spans="1:14">
      <c r="A102" s="171" t="s">
        <v>1250</v>
      </c>
      <c r="B102" s="171" t="s">
        <v>886</v>
      </c>
      <c r="C102" s="171">
        <v>180</v>
      </c>
      <c r="D102" s="171" t="s">
        <v>918</v>
      </c>
      <c r="E102" s="171" t="s">
        <v>1249</v>
      </c>
      <c r="F102" s="173">
        <v>45890</v>
      </c>
      <c r="G102" s="173">
        <v>45890</v>
      </c>
      <c r="H102" s="173">
        <v>46227</v>
      </c>
      <c r="I102" s="173">
        <v>46227</v>
      </c>
      <c r="J102" s="171">
        <v>650</v>
      </c>
      <c r="K102" s="171">
        <v>767.27</v>
      </c>
      <c r="L102" s="171">
        <v>650</v>
      </c>
      <c r="M102" s="171">
        <v>0</v>
      </c>
      <c r="N102" s="171">
        <v>250</v>
      </c>
    </row>
    <row r="103" spans="1:14">
      <c r="A103" s="171" t="s">
        <v>1248</v>
      </c>
      <c r="B103" s="171" t="s">
        <v>886</v>
      </c>
      <c r="C103" s="171">
        <v>180</v>
      </c>
      <c r="D103" s="171" t="s">
        <v>869</v>
      </c>
      <c r="E103" s="171" t="s">
        <v>1247</v>
      </c>
      <c r="F103" s="173">
        <v>45891</v>
      </c>
      <c r="G103" s="173">
        <v>45891</v>
      </c>
      <c r="H103" s="173">
        <v>46227</v>
      </c>
      <c r="J103" s="172">
        <v>1300</v>
      </c>
      <c r="K103" s="171">
        <v>715.33</v>
      </c>
      <c r="L103" s="171">
        <v>650</v>
      </c>
      <c r="M103" s="171">
        <v>0</v>
      </c>
      <c r="N103" s="171">
        <v>250</v>
      </c>
    </row>
    <row r="104" spans="1:14">
      <c r="A104" s="171" t="s">
        <v>1246</v>
      </c>
      <c r="B104" s="171" t="s">
        <v>886</v>
      </c>
      <c r="C104" s="171">
        <v>180</v>
      </c>
      <c r="D104" s="171" t="s">
        <v>869</v>
      </c>
      <c r="E104" s="171" t="s">
        <v>1245</v>
      </c>
      <c r="F104" s="173">
        <v>45876</v>
      </c>
      <c r="G104" s="173">
        <v>45860</v>
      </c>
      <c r="H104" s="173">
        <v>46227</v>
      </c>
      <c r="J104" s="171">
        <v>650</v>
      </c>
      <c r="K104" s="171">
        <v>682.65</v>
      </c>
      <c r="L104" s="171">
        <v>650</v>
      </c>
      <c r="M104" s="171">
        <v>0</v>
      </c>
      <c r="N104" s="171">
        <v>250</v>
      </c>
    </row>
    <row r="105" spans="1:14">
      <c r="A105" s="171" t="s">
        <v>1244</v>
      </c>
      <c r="B105" s="171" t="s">
        <v>886</v>
      </c>
      <c r="C105" s="171">
        <v>180</v>
      </c>
      <c r="D105" s="171" t="s">
        <v>869</v>
      </c>
      <c r="E105" s="171" t="s">
        <v>1243</v>
      </c>
      <c r="F105" s="173">
        <v>45876</v>
      </c>
      <c r="G105" s="173">
        <v>45860</v>
      </c>
      <c r="H105" s="173">
        <v>46227</v>
      </c>
      <c r="J105" s="171">
        <v>650</v>
      </c>
      <c r="K105" s="171">
        <v>695.65</v>
      </c>
      <c r="L105" s="171">
        <v>650</v>
      </c>
      <c r="M105" s="171">
        <v>12.72</v>
      </c>
      <c r="N105" s="171">
        <v>250</v>
      </c>
    </row>
    <row r="106" spans="1:14">
      <c r="A106" s="171" t="s">
        <v>1242</v>
      </c>
      <c r="B106" s="171" t="s">
        <v>886</v>
      </c>
      <c r="C106" s="171">
        <v>180</v>
      </c>
      <c r="D106" s="171" t="s">
        <v>918</v>
      </c>
      <c r="E106" s="171" t="s">
        <v>1241</v>
      </c>
      <c r="F106" s="173">
        <v>45890</v>
      </c>
      <c r="G106" s="173">
        <v>46023</v>
      </c>
      <c r="H106" s="173">
        <v>46227</v>
      </c>
      <c r="I106" s="173">
        <v>46227</v>
      </c>
      <c r="J106" s="171">
        <v>650</v>
      </c>
      <c r="K106" s="171">
        <v>713.96</v>
      </c>
      <c r="L106" s="171">
        <v>650</v>
      </c>
      <c r="M106" s="171">
        <v>-2.72</v>
      </c>
      <c r="N106" s="171">
        <v>250</v>
      </c>
    </row>
    <row r="107" spans="1:14">
      <c r="A107" s="171" t="s">
        <v>1240</v>
      </c>
      <c r="B107" s="171" t="s">
        <v>886</v>
      </c>
      <c r="C107" s="171">
        <v>180</v>
      </c>
      <c r="D107" s="171" t="s">
        <v>869</v>
      </c>
      <c r="E107" s="171" t="s">
        <v>1239</v>
      </c>
      <c r="F107" s="173">
        <v>46037</v>
      </c>
      <c r="G107" s="173">
        <v>46037</v>
      </c>
      <c r="H107" s="173">
        <v>46234</v>
      </c>
      <c r="J107" s="172">
        <v>1300</v>
      </c>
      <c r="K107" s="171">
        <v>769.96</v>
      </c>
      <c r="L107" s="171">
        <v>693</v>
      </c>
      <c r="M107" s="171">
        <v>0</v>
      </c>
      <c r="N107" s="171">
        <v>250</v>
      </c>
    </row>
    <row r="108" spans="1:14">
      <c r="A108" s="171" t="s">
        <v>1238</v>
      </c>
      <c r="B108" s="171" t="s">
        <v>886</v>
      </c>
      <c r="C108" s="171">
        <v>180</v>
      </c>
      <c r="D108" s="171" t="s">
        <v>869</v>
      </c>
      <c r="E108" s="171" t="s">
        <v>1237</v>
      </c>
      <c r="F108" s="173">
        <v>45506</v>
      </c>
      <c r="G108" s="173">
        <v>45860</v>
      </c>
      <c r="H108" s="173">
        <v>46227</v>
      </c>
      <c r="J108" s="171">
        <v>650</v>
      </c>
      <c r="K108" s="171">
        <v>709.19</v>
      </c>
      <c r="L108" s="171">
        <v>650</v>
      </c>
      <c r="M108" s="171">
        <v>0</v>
      </c>
      <c r="N108" s="171">
        <v>250</v>
      </c>
    </row>
    <row r="109" spans="1:14">
      <c r="A109" s="171" t="s">
        <v>1236</v>
      </c>
      <c r="B109" s="171" t="s">
        <v>886</v>
      </c>
      <c r="C109" s="171">
        <v>180</v>
      </c>
      <c r="D109" s="171" t="s">
        <v>869</v>
      </c>
      <c r="E109" s="171" t="s">
        <v>1235</v>
      </c>
      <c r="F109" s="173">
        <v>46023</v>
      </c>
      <c r="G109" s="173">
        <v>46023</v>
      </c>
      <c r="H109" s="173">
        <v>46234</v>
      </c>
      <c r="J109" s="171">
        <v>650</v>
      </c>
      <c r="K109" s="171">
        <v>650</v>
      </c>
      <c r="L109" s="171">
        <v>650</v>
      </c>
      <c r="M109" s="171">
        <v>0</v>
      </c>
      <c r="N109" s="171">
        <v>0</v>
      </c>
    </row>
    <row r="110" spans="1:14">
      <c r="A110" s="171" t="s">
        <v>1234</v>
      </c>
      <c r="B110" s="171" t="s">
        <v>866</v>
      </c>
      <c r="C110" s="171">
        <v>75.75</v>
      </c>
      <c r="D110" s="171" t="s">
        <v>918</v>
      </c>
      <c r="E110" s="171" t="s">
        <v>1233</v>
      </c>
      <c r="F110" s="173">
        <v>45870</v>
      </c>
      <c r="G110" s="173">
        <v>45890</v>
      </c>
      <c r="H110" s="173">
        <v>46227</v>
      </c>
      <c r="I110" s="173">
        <v>46227</v>
      </c>
      <c r="J110" s="172">
        <v>1050</v>
      </c>
      <c r="K110" s="171">
        <v>522.87</v>
      </c>
      <c r="L110" s="171">
        <v>475</v>
      </c>
      <c r="M110" s="171">
        <v>0</v>
      </c>
      <c r="N110" s="171">
        <v>250</v>
      </c>
    </row>
    <row r="111" spans="1:14">
      <c r="A111" s="171" t="s">
        <v>1232</v>
      </c>
      <c r="B111" s="171" t="s">
        <v>866</v>
      </c>
      <c r="C111" s="171">
        <v>75.75</v>
      </c>
      <c r="D111" s="171" t="s">
        <v>869</v>
      </c>
      <c r="E111" s="171" t="s">
        <v>1231</v>
      </c>
      <c r="F111" s="173">
        <v>45870</v>
      </c>
      <c r="G111" s="173">
        <v>45890</v>
      </c>
      <c r="H111" s="173">
        <v>46227</v>
      </c>
      <c r="J111" s="171">
        <v>525</v>
      </c>
      <c r="K111" s="171">
        <v>522.87</v>
      </c>
      <c r="L111" s="171">
        <v>475</v>
      </c>
      <c r="M111" s="171">
        <v>0</v>
      </c>
      <c r="N111" s="171">
        <v>250</v>
      </c>
    </row>
    <row r="112" spans="1:14">
      <c r="A112" s="171" t="s">
        <v>1230</v>
      </c>
      <c r="B112" s="171" t="s">
        <v>866</v>
      </c>
      <c r="C112" s="171">
        <v>75.75</v>
      </c>
      <c r="D112" s="171" t="s">
        <v>918</v>
      </c>
      <c r="E112" s="171" t="s">
        <v>1229</v>
      </c>
      <c r="F112" s="173">
        <v>46024</v>
      </c>
      <c r="G112" s="173">
        <v>46024</v>
      </c>
      <c r="H112" s="173">
        <v>46227</v>
      </c>
      <c r="I112" s="173">
        <v>46227</v>
      </c>
      <c r="J112" s="171">
        <v>525</v>
      </c>
      <c r="K112" s="171">
        <v>74.87</v>
      </c>
      <c r="L112" s="171">
        <v>40</v>
      </c>
      <c r="M112" s="171">
        <v>0</v>
      </c>
      <c r="N112" s="171">
        <v>250</v>
      </c>
    </row>
    <row r="113" spans="1:14">
      <c r="A113" s="171" t="s">
        <v>1228</v>
      </c>
      <c r="B113" s="171" t="s">
        <v>866</v>
      </c>
      <c r="C113" s="171">
        <v>75.75</v>
      </c>
      <c r="D113" s="171" t="s">
        <v>918</v>
      </c>
      <c r="E113" s="171" t="s">
        <v>1227</v>
      </c>
      <c r="F113" s="173">
        <v>45892</v>
      </c>
      <c r="G113" s="173">
        <v>45892</v>
      </c>
      <c r="H113" s="173">
        <v>46227</v>
      </c>
      <c r="I113" s="173">
        <v>46227</v>
      </c>
      <c r="J113" s="171">
        <v>525</v>
      </c>
      <c r="K113" s="171">
        <v>610.32000000000005</v>
      </c>
      <c r="L113" s="171">
        <v>475</v>
      </c>
      <c r="M113" s="171">
        <v>0</v>
      </c>
      <c r="N113" s="171">
        <v>250</v>
      </c>
    </row>
    <row r="114" spans="1:14">
      <c r="A114" s="171" t="s">
        <v>1226</v>
      </c>
      <c r="B114" s="171" t="s">
        <v>866</v>
      </c>
      <c r="C114" s="171">
        <v>75.75</v>
      </c>
      <c r="D114" s="171" t="s">
        <v>869</v>
      </c>
      <c r="E114" s="171" t="s">
        <v>1225</v>
      </c>
      <c r="F114" s="173">
        <v>45786</v>
      </c>
      <c r="G114" s="173">
        <v>45786</v>
      </c>
      <c r="H114" s="173">
        <v>46227</v>
      </c>
      <c r="J114" s="171">
        <v>525</v>
      </c>
      <c r="K114" s="171">
        <v>558.22</v>
      </c>
      <c r="L114" s="171">
        <v>500</v>
      </c>
      <c r="M114" s="171">
        <v>0</v>
      </c>
      <c r="N114" s="171">
        <v>250</v>
      </c>
    </row>
    <row r="115" spans="1:14">
      <c r="A115" s="171" t="s">
        <v>1224</v>
      </c>
      <c r="B115" s="171" t="s">
        <v>866</v>
      </c>
      <c r="C115" s="171">
        <v>75.75</v>
      </c>
      <c r="D115" s="171" t="s">
        <v>869</v>
      </c>
      <c r="E115" s="171" t="s">
        <v>1223</v>
      </c>
      <c r="F115" s="173">
        <v>45786</v>
      </c>
      <c r="G115" s="173">
        <v>45786</v>
      </c>
      <c r="H115" s="173">
        <v>46227</v>
      </c>
      <c r="J115" s="171">
        <v>525</v>
      </c>
      <c r="K115" s="171">
        <v>545.22</v>
      </c>
      <c r="L115" s="171">
        <v>500</v>
      </c>
      <c r="M115" s="171">
        <v>0</v>
      </c>
      <c r="N115" s="171">
        <v>250</v>
      </c>
    </row>
    <row r="116" spans="1:14">
      <c r="A116" s="171" t="s">
        <v>1222</v>
      </c>
      <c r="B116" s="171" t="s">
        <v>866</v>
      </c>
      <c r="C116" s="171">
        <v>75.75</v>
      </c>
      <c r="D116" s="171" t="s">
        <v>871</v>
      </c>
      <c r="E116" s="171" t="s">
        <v>864</v>
      </c>
      <c r="J116" s="171">
        <v>525</v>
      </c>
      <c r="K116" s="171">
        <v>0</v>
      </c>
      <c r="L116" s="171">
        <v>0</v>
      </c>
      <c r="N116" s="171">
        <v>0</v>
      </c>
    </row>
    <row r="117" spans="1:14">
      <c r="A117" s="171" t="s">
        <v>1221</v>
      </c>
      <c r="B117" s="171" t="s">
        <v>866</v>
      </c>
      <c r="C117" s="171">
        <v>75.75</v>
      </c>
      <c r="D117" s="171" t="s">
        <v>865</v>
      </c>
      <c r="E117" s="171" t="s">
        <v>864</v>
      </c>
      <c r="J117" s="171">
        <v>600</v>
      </c>
      <c r="K117" s="171">
        <v>0</v>
      </c>
      <c r="L117" s="171">
        <v>0</v>
      </c>
      <c r="N117" s="171">
        <v>0</v>
      </c>
    </row>
    <row r="118" spans="1:14">
      <c r="A118" s="171" t="s">
        <v>1220</v>
      </c>
      <c r="B118" s="171" t="s">
        <v>866</v>
      </c>
      <c r="C118" s="171">
        <v>75.75</v>
      </c>
      <c r="D118" s="171" t="s">
        <v>918</v>
      </c>
      <c r="E118" s="171" t="s">
        <v>1219</v>
      </c>
      <c r="F118" s="173">
        <v>46101</v>
      </c>
      <c r="G118" s="173">
        <v>46101</v>
      </c>
      <c r="H118" s="173">
        <v>46234</v>
      </c>
      <c r="I118" s="173">
        <v>46227</v>
      </c>
      <c r="J118" s="172">
        <v>1900</v>
      </c>
      <c r="K118" s="171">
        <v>554.25</v>
      </c>
      <c r="L118" s="171">
        <v>509</v>
      </c>
      <c r="M118" s="171">
        <v>0</v>
      </c>
      <c r="N118" s="171">
        <v>250</v>
      </c>
    </row>
    <row r="119" spans="1:14">
      <c r="A119" s="171" t="s">
        <v>1218</v>
      </c>
      <c r="B119" s="171" t="s">
        <v>866</v>
      </c>
      <c r="C119" s="171">
        <v>75.75</v>
      </c>
      <c r="D119" s="171" t="s">
        <v>869</v>
      </c>
      <c r="E119" s="171" t="s">
        <v>1217</v>
      </c>
      <c r="F119" s="173">
        <v>46101</v>
      </c>
      <c r="G119" s="173">
        <v>46101</v>
      </c>
      <c r="H119" s="173">
        <v>46227</v>
      </c>
      <c r="J119" s="172">
        <v>1050</v>
      </c>
      <c r="K119" s="171">
        <v>605.25</v>
      </c>
      <c r="L119" s="171">
        <v>560</v>
      </c>
      <c r="M119" s="171">
        <v>0</v>
      </c>
      <c r="N119" s="171">
        <v>250</v>
      </c>
    </row>
    <row r="120" spans="1:14">
      <c r="A120" s="171" t="s">
        <v>1216</v>
      </c>
      <c r="B120" s="171" t="s">
        <v>866</v>
      </c>
      <c r="C120" s="171">
        <v>75.75</v>
      </c>
      <c r="D120" s="171" t="s">
        <v>869</v>
      </c>
      <c r="E120" s="171" t="s">
        <v>1215</v>
      </c>
      <c r="F120" s="173">
        <v>46106</v>
      </c>
      <c r="G120" s="173">
        <v>46106</v>
      </c>
      <c r="H120" s="173">
        <v>46227</v>
      </c>
      <c r="J120" s="171">
        <v>525</v>
      </c>
      <c r="K120" s="171">
        <v>583.25</v>
      </c>
      <c r="L120" s="171">
        <v>525</v>
      </c>
      <c r="M120" s="171">
        <v>0</v>
      </c>
      <c r="N120" s="171">
        <v>250</v>
      </c>
    </row>
    <row r="121" spans="1:14">
      <c r="A121" s="171" t="s">
        <v>1214</v>
      </c>
      <c r="B121" s="171" t="s">
        <v>866</v>
      </c>
      <c r="C121" s="171">
        <v>75.75</v>
      </c>
      <c r="D121" s="171" t="s">
        <v>865</v>
      </c>
      <c r="E121" s="171" t="s">
        <v>864</v>
      </c>
      <c r="J121" s="172">
        <v>1950</v>
      </c>
      <c r="K121" s="171">
        <v>0</v>
      </c>
      <c r="L121" s="171">
        <v>0</v>
      </c>
      <c r="N121" s="171">
        <v>0</v>
      </c>
    </row>
    <row r="122" spans="1:14">
      <c r="A122" s="171" t="s">
        <v>1213</v>
      </c>
      <c r="B122" s="171" t="s">
        <v>866</v>
      </c>
      <c r="C122" s="171">
        <v>75.75</v>
      </c>
      <c r="D122" s="171" t="s">
        <v>869</v>
      </c>
      <c r="E122" s="171" t="s">
        <v>1212</v>
      </c>
      <c r="F122" s="173">
        <v>46143</v>
      </c>
      <c r="G122" s="173">
        <v>46143</v>
      </c>
      <c r="H122" s="173">
        <v>46592</v>
      </c>
      <c r="J122" s="172">
        <v>1200</v>
      </c>
      <c r="K122" s="171">
        <v>577.45000000000005</v>
      </c>
      <c r="L122" s="171">
        <v>525</v>
      </c>
      <c r="M122" s="171">
        <v>0</v>
      </c>
      <c r="N122" s="171">
        <v>0</v>
      </c>
    </row>
    <row r="123" spans="1:14">
      <c r="A123" s="171" t="s">
        <v>1211</v>
      </c>
      <c r="B123" s="171" t="s">
        <v>866</v>
      </c>
      <c r="C123" s="171">
        <v>75.75</v>
      </c>
      <c r="D123" s="171" t="s">
        <v>869</v>
      </c>
      <c r="E123" s="171" t="s">
        <v>1210</v>
      </c>
      <c r="F123" s="173">
        <v>46143</v>
      </c>
      <c r="G123" s="173">
        <v>46143</v>
      </c>
      <c r="H123" s="173">
        <v>46387</v>
      </c>
      <c r="J123" s="172">
        <v>1200</v>
      </c>
      <c r="K123" s="171">
        <v>525</v>
      </c>
      <c r="L123" s="171">
        <v>525</v>
      </c>
      <c r="M123" s="171">
        <v>0</v>
      </c>
      <c r="N123" s="171">
        <v>0</v>
      </c>
    </row>
    <row r="124" spans="1:14">
      <c r="A124" s="171" t="s">
        <v>1209</v>
      </c>
      <c r="B124" s="171" t="s">
        <v>866</v>
      </c>
      <c r="C124" s="171">
        <v>75.75</v>
      </c>
      <c r="D124" s="171" t="s">
        <v>869</v>
      </c>
      <c r="E124" s="171" t="s">
        <v>1208</v>
      </c>
      <c r="F124" s="173">
        <v>46153</v>
      </c>
      <c r="G124" s="173">
        <v>46153</v>
      </c>
      <c r="H124" s="173">
        <v>46592</v>
      </c>
      <c r="J124" s="172">
        <v>1200</v>
      </c>
      <c r="K124" s="171">
        <v>577.45000000000005</v>
      </c>
      <c r="L124" s="171">
        <v>525</v>
      </c>
      <c r="M124" s="171">
        <v>0</v>
      </c>
      <c r="N124" s="171">
        <v>250</v>
      </c>
    </row>
    <row r="125" spans="1:14">
      <c r="A125" s="171" t="s">
        <v>1207</v>
      </c>
      <c r="B125" s="171" t="s">
        <v>866</v>
      </c>
      <c r="C125" s="171">
        <v>75.75</v>
      </c>
      <c r="D125" s="171" t="s">
        <v>869</v>
      </c>
      <c r="E125" s="171" t="s">
        <v>1206</v>
      </c>
      <c r="F125" s="173">
        <v>46153</v>
      </c>
      <c r="G125" s="173">
        <v>46153</v>
      </c>
      <c r="H125" s="173">
        <v>46387</v>
      </c>
      <c r="J125" s="172">
        <v>1950</v>
      </c>
      <c r="K125" s="171">
        <v>600</v>
      </c>
      <c r="L125" s="171">
        <v>600</v>
      </c>
      <c r="M125" s="171">
        <v>0</v>
      </c>
      <c r="N125" s="171">
        <v>250</v>
      </c>
    </row>
    <row r="126" spans="1:14">
      <c r="A126" s="171" t="s">
        <v>1205</v>
      </c>
      <c r="B126" s="171" t="s">
        <v>886</v>
      </c>
      <c r="C126" s="171">
        <v>180</v>
      </c>
      <c r="D126" s="171" t="s">
        <v>918</v>
      </c>
      <c r="E126" s="171" t="s">
        <v>1204</v>
      </c>
      <c r="F126" s="173">
        <v>45890</v>
      </c>
      <c r="G126" s="173">
        <v>45890</v>
      </c>
      <c r="H126" s="173">
        <v>46227</v>
      </c>
      <c r="I126" s="173">
        <v>46227</v>
      </c>
      <c r="J126" s="171">
        <v>650</v>
      </c>
      <c r="K126" s="171">
        <v>712.23</v>
      </c>
      <c r="L126" s="171">
        <v>650</v>
      </c>
      <c r="M126" s="171">
        <v>0</v>
      </c>
      <c r="N126" s="171">
        <v>250</v>
      </c>
    </row>
    <row r="127" spans="1:14">
      <c r="A127" s="171" t="s">
        <v>1203</v>
      </c>
      <c r="B127" s="171" t="s">
        <v>886</v>
      </c>
      <c r="C127" s="171">
        <v>180</v>
      </c>
      <c r="D127" s="171" t="s">
        <v>918</v>
      </c>
      <c r="E127" s="171" t="s">
        <v>1202</v>
      </c>
      <c r="F127" s="173">
        <v>45890</v>
      </c>
      <c r="G127" s="173">
        <v>45890</v>
      </c>
      <c r="H127" s="173">
        <v>46227</v>
      </c>
      <c r="I127" s="173">
        <v>46227</v>
      </c>
      <c r="J127" s="171">
        <v>650</v>
      </c>
      <c r="K127" s="171">
        <v>712.23</v>
      </c>
      <c r="L127" s="171">
        <v>650</v>
      </c>
      <c r="M127" s="171">
        <v>0</v>
      </c>
      <c r="N127" s="171">
        <v>250</v>
      </c>
    </row>
    <row r="128" spans="1:14">
      <c r="A128" s="171" t="s">
        <v>1201</v>
      </c>
      <c r="B128" s="171" t="s">
        <v>886</v>
      </c>
      <c r="C128" s="171">
        <v>180</v>
      </c>
      <c r="D128" s="171" t="s">
        <v>918</v>
      </c>
      <c r="E128" s="171" t="s">
        <v>1200</v>
      </c>
      <c r="F128" s="173">
        <v>45794</v>
      </c>
      <c r="G128" s="173">
        <v>46023</v>
      </c>
      <c r="H128" s="173">
        <v>46227</v>
      </c>
      <c r="I128" s="173">
        <v>46227</v>
      </c>
      <c r="J128" s="171">
        <v>650</v>
      </c>
      <c r="K128" s="171">
        <v>705.87</v>
      </c>
      <c r="L128" s="171">
        <v>650</v>
      </c>
      <c r="M128" s="171">
        <v>0</v>
      </c>
      <c r="N128" s="171">
        <v>250</v>
      </c>
    </row>
    <row r="129" spans="1:14">
      <c r="A129" s="171" t="s">
        <v>1199</v>
      </c>
      <c r="B129" s="171" t="s">
        <v>886</v>
      </c>
      <c r="C129" s="171">
        <v>180</v>
      </c>
      <c r="D129" s="171" t="s">
        <v>869</v>
      </c>
      <c r="E129" s="171" t="s">
        <v>1198</v>
      </c>
      <c r="F129" s="173">
        <v>46157</v>
      </c>
      <c r="G129" s="173">
        <v>46157</v>
      </c>
      <c r="H129" s="173">
        <v>46234</v>
      </c>
      <c r="J129" s="171">
        <v>650</v>
      </c>
      <c r="K129" s="171">
        <v>650</v>
      </c>
      <c r="L129" s="171">
        <v>650</v>
      </c>
      <c r="M129" s="171">
        <v>-918.55</v>
      </c>
      <c r="N129" s="171">
        <v>0</v>
      </c>
    </row>
    <row r="130" spans="1:14">
      <c r="A130" s="171" t="s">
        <v>1197</v>
      </c>
      <c r="B130" s="171" t="s">
        <v>886</v>
      </c>
      <c r="C130" s="171">
        <v>180</v>
      </c>
      <c r="D130" s="171" t="s">
        <v>869</v>
      </c>
      <c r="E130" s="171" t="s">
        <v>1195</v>
      </c>
      <c r="F130" s="173">
        <v>46132</v>
      </c>
      <c r="G130" s="173">
        <v>46132</v>
      </c>
      <c r="H130" s="173">
        <v>46599</v>
      </c>
      <c r="J130" s="172">
        <v>1450</v>
      </c>
      <c r="K130" s="171">
        <v>650</v>
      </c>
      <c r="L130" s="171">
        <v>650</v>
      </c>
      <c r="M130" s="171">
        <v>0</v>
      </c>
      <c r="N130" s="171">
        <v>125</v>
      </c>
    </row>
    <row r="131" spans="1:14">
      <c r="A131" s="171" t="s">
        <v>1196</v>
      </c>
      <c r="B131" s="171" t="s">
        <v>886</v>
      </c>
      <c r="C131" s="171">
        <v>180</v>
      </c>
      <c r="D131" s="171" t="s">
        <v>869</v>
      </c>
      <c r="E131" s="171" t="s">
        <v>1195</v>
      </c>
      <c r="F131" s="173">
        <v>46132</v>
      </c>
      <c r="G131" s="173">
        <v>46132</v>
      </c>
      <c r="H131" s="173">
        <v>46599</v>
      </c>
      <c r="J131" s="172">
        <v>1450</v>
      </c>
      <c r="K131" s="171">
        <v>650</v>
      </c>
      <c r="L131" s="171">
        <v>650</v>
      </c>
      <c r="M131" s="171">
        <v>0</v>
      </c>
      <c r="N131" s="171">
        <v>125</v>
      </c>
    </row>
    <row r="132" spans="1:14">
      <c r="A132" s="171" t="s">
        <v>1194</v>
      </c>
      <c r="B132" s="171" t="s">
        <v>886</v>
      </c>
      <c r="C132" s="171">
        <v>180</v>
      </c>
      <c r="D132" s="171" t="s">
        <v>869</v>
      </c>
      <c r="E132" s="171" t="s">
        <v>1193</v>
      </c>
      <c r="F132" s="173">
        <v>45870</v>
      </c>
      <c r="G132" s="173">
        <v>45870</v>
      </c>
      <c r="H132" s="173">
        <v>46227</v>
      </c>
      <c r="J132" s="171">
        <v>650</v>
      </c>
      <c r="K132" s="171">
        <v>711.61</v>
      </c>
      <c r="L132" s="171">
        <v>650</v>
      </c>
      <c r="M132" s="171">
        <v>0</v>
      </c>
      <c r="N132" s="171">
        <v>250</v>
      </c>
    </row>
    <row r="133" spans="1:14">
      <c r="A133" s="171" t="s">
        <v>1192</v>
      </c>
      <c r="B133" s="171" t="s">
        <v>886</v>
      </c>
      <c r="C133" s="171">
        <v>180</v>
      </c>
      <c r="D133" s="171" t="s">
        <v>869</v>
      </c>
      <c r="E133" s="171" t="s">
        <v>1191</v>
      </c>
      <c r="F133" s="173">
        <v>46143</v>
      </c>
      <c r="G133" s="173">
        <v>46143</v>
      </c>
      <c r="H133" s="173">
        <v>46227</v>
      </c>
      <c r="J133" s="171">
        <v>725</v>
      </c>
      <c r="K133" s="172">
        <v>1125</v>
      </c>
      <c r="L133" s="171">
        <v>650</v>
      </c>
      <c r="M133" s="171">
        <v>205</v>
      </c>
      <c r="N133" s="171">
        <v>0</v>
      </c>
    </row>
    <row r="134" spans="1:14">
      <c r="A134" s="171" t="s">
        <v>1190</v>
      </c>
      <c r="B134" s="171" t="s">
        <v>866</v>
      </c>
      <c r="C134" s="171">
        <v>75.75</v>
      </c>
      <c r="D134" s="171" t="s">
        <v>918</v>
      </c>
      <c r="E134" s="171" t="s">
        <v>1189</v>
      </c>
      <c r="F134" s="173">
        <v>45505</v>
      </c>
      <c r="G134" s="173">
        <v>45860</v>
      </c>
      <c r="H134" s="173">
        <v>46227</v>
      </c>
      <c r="I134" s="173">
        <v>46227</v>
      </c>
      <c r="J134" s="172">
        <v>1900</v>
      </c>
      <c r="K134" s="171">
        <v>573.82000000000005</v>
      </c>
      <c r="L134" s="171">
        <v>525</v>
      </c>
      <c r="M134" s="171">
        <v>0</v>
      </c>
      <c r="N134" s="171">
        <v>250</v>
      </c>
    </row>
    <row r="135" spans="1:14">
      <c r="A135" s="171" t="s">
        <v>1188</v>
      </c>
      <c r="B135" s="171" t="s">
        <v>866</v>
      </c>
      <c r="C135" s="171">
        <v>75.75</v>
      </c>
      <c r="D135" s="171" t="s">
        <v>951</v>
      </c>
      <c r="E135" s="171" t="s">
        <v>864</v>
      </c>
      <c r="J135" s="172">
        <v>1200</v>
      </c>
      <c r="K135" s="171">
        <v>0</v>
      </c>
      <c r="L135" s="171">
        <v>0</v>
      </c>
    </row>
    <row r="136" spans="1:14">
      <c r="A136" s="171" t="s">
        <v>1187</v>
      </c>
      <c r="B136" s="171" t="s">
        <v>866</v>
      </c>
      <c r="C136" s="171">
        <v>75.75</v>
      </c>
      <c r="D136" s="171" t="s">
        <v>885</v>
      </c>
      <c r="E136" s="171" t="s">
        <v>864</v>
      </c>
      <c r="J136" s="171">
        <v>525</v>
      </c>
      <c r="K136" s="171">
        <v>0</v>
      </c>
      <c r="L136" s="171">
        <v>0</v>
      </c>
    </row>
    <row r="137" spans="1:14">
      <c r="A137" s="171" t="s">
        <v>1186</v>
      </c>
      <c r="B137" s="171" t="s">
        <v>866</v>
      </c>
      <c r="C137" s="171">
        <v>75.75</v>
      </c>
      <c r="D137" s="171" t="s">
        <v>865</v>
      </c>
      <c r="E137" s="171" t="s">
        <v>864</v>
      </c>
      <c r="J137" s="171">
        <v>600</v>
      </c>
      <c r="K137" s="171">
        <v>0</v>
      </c>
      <c r="L137" s="171">
        <v>0</v>
      </c>
      <c r="N137" s="171">
        <v>0</v>
      </c>
    </row>
    <row r="138" spans="1:14">
      <c r="A138" s="171" t="s">
        <v>1185</v>
      </c>
      <c r="B138" s="171" t="s">
        <v>866</v>
      </c>
      <c r="C138" s="171">
        <v>75.75</v>
      </c>
      <c r="D138" s="171" t="s">
        <v>869</v>
      </c>
      <c r="E138" s="171" t="s">
        <v>1184</v>
      </c>
      <c r="F138" s="173">
        <v>46174</v>
      </c>
      <c r="G138" s="173">
        <v>46174</v>
      </c>
      <c r="H138" s="173">
        <v>46592</v>
      </c>
      <c r="J138" s="172">
        <v>1950</v>
      </c>
      <c r="K138" s="171">
        <v>660</v>
      </c>
      <c r="L138" s="171">
        <v>560</v>
      </c>
      <c r="M138" s="171">
        <v>0</v>
      </c>
      <c r="N138" s="171">
        <v>0</v>
      </c>
    </row>
    <row r="139" spans="1:14">
      <c r="A139" s="171" t="s">
        <v>1183</v>
      </c>
      <c r="B139" s="171" t="s">
        <v>866</v>
      </c>
      <c r="C139" s="171">
        <v>75.75</v>
      </c>
      <c r="D139" s="171" t="s">
        <v>951</v>
      </c>
      <c r="E139" s="171" t="s">
        <v>864</v>
      </c>
      <c r="J139" s="171">
        <v>600</v>
      </c>
      <c r="K139" s="171">
        <v>0</v>
      </c>
      <c r="L139" s="171">
        <v>0</v>
      </c>
    </row>
    <row r="140" spans="1:14">
      <c r="A140" s="171" t="s">
        <v>1182</v>
      </c>
      <c r="B140" s="171" t="s">
        <v>866</v>
      </c>
      <c r="C140" s="171">
        <v>75.75</v>
      </c>
      <c r="D140" s="171" t="s">
        <v>918</v>
      </c>
      <c r="E140" s="171" t="s">
        <v>1181</v>
      </c>
      <c r="F140" s="173">
        <v>45953</v>
      </c>
      <c r="G140" s="173">
        <v>45953</v>
      </c>
      <c r="H140" s="173">
        <v>46227</v>
      </c>
      <c r="I140" s="173">
        <v>46227</v>
      </c>
      <c r="J140" s="171">
        <v>525</v>
      </c>
      <c r="K140" s="171">
        <v>682.46</v>
      </c>
      <c r="L140" s="171">
        <v>560</v>
      </c>
      <c r="M140" s="171">
        <v>689.59</v>
      </c>
      <c r="N140" s="171">
        <v>250</v>
      </c>
    </row>
    <row r="141" spans="1:14">
      <c r="A141" s="171" t="s">
        <v>1180</v>
      </c>
      <c r="B141" s="171" t="s">
        <v>866</v>
      </c>
      <c r="C141" s="171">
        <v>75.75</v>
      </c>
      <c r="D141" s="171" t="s">
        <v>951</v>
      </c>
      <c r="E141" s="171" t="s">
        <v>864</v>
      </c>
      <c r="J141" s="172">
        <v>1950</v>
      </c>
      <c r="K141" s="171">
        <v>0</v>
      </c>
      <c r="L141" s="171">
        <v>0</v>
      </c>
    </row>
    <row r="142" spans="1:14">
      <c r="A142" s="171" t="s">
        <v>1179</v>
      </c>
      <c r="B142" s="171" t="s">
        <v>866</v>
      </c>
      <c r="C142" s="171">
        <v>75.75</v>
      </c>
      <c r="D142" s="171" t="s">
        <v>869</v>
      </c>
      <c r="E142" s="171" t="s">
        <v>1178</v>
      </c>
      <c r="F142" s="173">
        <v>46154</v>
      </c>
      <c r="G142" s="173">
        <v>46154</v>
      </c>
      <c r="H142" s="173">
        <v>46538</v>
      </c>
      <c r="J142" s="171">
        <v>600</v>
      </c>
      <c r="K142" s="171">
        <v>613</v>
      </c>
      <c r="L142" s="171">
        <v>600</v>
      </c>
      <c r="M142" s="171">
        <v>0</v>
      </c>
      <c r="N142" s="171">
        <v>250</v>
      </c>
    </row>
    <row r="143" spans="1:14">
      <c r="A143" s="171" t="s">
        <v>1177</v>
      </c>
      <c r="B143" s="171" t="s">
        <v>866</v>
      </c>
      <c r="C143" s="171">
        <v>75.75</v>
      </c>
      <c r="D143" s="171" t="s">
        <v>865</v>
      </c>
      <c r="E143" s="171" t="s">
        <v>864</v>
      </c>
      <c r="J143" s="172">
        <v>1950</v>
      </c>
      <c r="K143" s="171">
        <v>0</v>
      </c>
      <c r="L143" s="171">
        <v>0</v>
      </c>
      <c r="N143" s="171">
        <v>0</v>
      </c>
    </row>
    <row r="144" spans="1:14">
      <c r="A144" s="171" t="s">
        <v>1176</v>
      </c>
      <c r="B144" s="171" t="s">
        <v>866</v>
      </c>
      <c r="C144" s="171">
        <v>75.75</v>
      </c>
      <c r="D144" s="171" t="s">
        <v>871</v>
      </c>
      <c r="E144" s="171" t="s">
        <v>864</v>
      </c>
      <c r="J144" s="172">
        <v>1200</v>
      </c>
      <c r="K144" s="171">
        <v>0</v>
      </c>
      <c r="L144" s="171">
        <v>0</v>
      </c>
      <c r="N144" s="171">
        <v>0</v>
      </c>
    </row>
    <row r="145" spans="1:14">
      <c r="A145" s="171" t="s">
        <v>1175</v>
      </c>
      <c r="B145" s="171" t="s">
        <v>866</v>
      </c>
      <c r="C145" s="171">
        <v>75.75</v>
      </c>
      <c r="D145" s="171" t="s">
        <v>869</v>
      </c>
      <c r="E145" s="171" t="s">
        <v>1174</v>
      </c>
      <c r="F145" s="173">
        <v>46101</v>
      </c>
      <c r="G145" s="173">
        <v>46101</v>
      </c>
      <c r="H145" s="173">
        <v>46227</v>
      </c>
      <c r="J145" s="171">
        <v>525</v>
      </c>
      <c r="K145" s="171">
        <v>567.95000000000005</v>
      </c>
      <c r="L145" s="171">
        <v>525</v>
      </c>
      <c r="M145" s="171">
        <v>0</v>
      </c>
      <c r="N145" s="171">
        <v>250</v>
      </c>
    </row>
    <row r="146" spans="1:14">
      <c r="A146" s="171" t="s">
        <v>1173</v>
      </c>
      <c r="B146" s="171" t="s">
        <v>866</v>
      </c>
      <c r="C146" s="171">
        <v>75.75</v>
      </c>
      <c r="D146" s="171" t="s">
        <v>869</v>
      </c>
      <c r="E146" s="171" t="s">
        <v>1172</v>
      </c>
      <c r="F146" s="173">
        <v>45056</v>
      </c>
      <c r="G146" s="173">
        <v>45860</v>
      </c>
      <c r="H146" s="173">
        <v>46227</v>
      </c>
      <c r="J146" s="171">
        <v>525</v>
      </c>
      <c r="K146" s="171">
        <v>614.92999999999995</v>
      </c>
      <c r="L146" s="171">
        <v>525</v>
      </c>
      <c r="M146" s="171">
        <v>0</v>
      </c>
      <c r="N146" s="171">
        <v>250</v>
      </c>
    </row>
    <row r="147" spans="1:14">
      <c r="A147" s="171" t="s">
        <v>1171</v>
      </c>
      <c r="B147" s="171" t="s">
        <v>866</v>
      </c>
      <c r="C147" s="171">
        <v>75.75</v>
      </c>
      <c r="D147" s="171" t="s">
        <v>885</v>
      </c>
      <c r="E147" s="171" t="s">
        <v>864</v>
      </c>
      <c r="J147" s="171">
        <v>600</v>
      </c>
      <c r="K147" s="171">
        <v>0</v>
      </c>
      <c r="L147" s="171">
        <v>0</v>
      </c>
      <c r="N147" s="171">
        <v>0</v>
      </c>
    </row>
    <row r="148" spans="1:14">
      <c r="A148" s="171" t="s">
        <v>1170</v>
      </c>
      <c r="B148" s="171" t="s">
        <v>866</v>
      </c>
      <c r="C148" s="171">
        <v>75.75</v>
      </c>
      <c r="D148" s="171" t="s">
        <v>951</v>
      </c>
      <c r="E148" s="171" t="s">
        <v>864</v>
      </c>
      <c r="J148" s="172">
        <v>1950</v>
      </c>
      <c r="K148" s="171">
        <v>0</v>
      </c>
      <c r="L148" s="171">
        <v>0</v>
      </c>
      <c r="N148" s="171">
        <v>0</v>
      </c>
    </row>
    <row r="149" spans="1:14">
      <c r="A149" s="171" t="s">
        <v>1169</v>
      </c>
      <c r="B149" s="171" t="s">
        <v>866</v>
      </c>
      <c r="C149" s="171">
        <v>75.75</v>
      </c>
      <c r="D149" s="171" t="s">
        <v>951</v>
      </c>
      <c r="E149" s="171" t="s">
        <v>864</v>
      </c>
      <c r="J149" s="172">
        <v>1950</v>
      </c>
      <c r="K149" s="171">
        <v>0</v>
      </c>
      <c r="L149" s="171">
        <v>0</v>
      </c>
      <c r="N149" s="171">
        <v>0</v>
      </c>
    </row>
    <row r="150" spans="1:14">
      <c r="A150" s="171" t="s">
        <v>1168</v>
      </c>
      <c r="B150" s="171" t="s">
        <v>886</v>
      </c>
      <c r="C150" s="171">
        <v>180</v>
      </c>
      <c r="D150" s="171" t="s">
        <v>869</v>
      </c>
      <c r="E150" s="171" t="s">
        <v>1167</v>
      </c>
      <c r="F150" s="173">
        <v>45882</v>
      </c>
      <c r="G150" s="173">
        <v>45890</v>
      </c>
      <c r="H150" s="173">
        <v>46227</v>
      </c>
      <c r="J150" s="171">
        <v>650</v>
      </c>
      <c r="K150" s="171">
        <v>805.38</v>
      </c>
      <c r="L150" s="171">
        <v>650</v>
      </c>
      <c r="M150" s="171">
        <v>0</v>
      </c>
      <c r="N150" s="171">
        <v>250</v>
      </c>
    </row>
    <row r="151" spans="1:14">
      <c r="A151" s="171" t="s">
        <v>1166</v>
      </c>
      <c r="B151" s="171" t="s">
        <v>886</v>
      </c>
      <c r="C151" s="171">
        <v>180</v>
      </c>
      <c r="D151" s="171" t="s">
        <v>865</v>
      </c>
      <c r="E151" s="171" t="s">
        <v>864</v>
      </c>
      <c r="J151" s="171">
        <v>725</v>
      </c>
      <c r="K151" s="171">
        <v>0</v>
      </c>
      <c r="L151" s="171">
        <v>0</v>
      </c>
      <c r="N151" s="171">
        <v>0</v>
      </c>
    </row>
    <row r="152" spans="1:14">
      <c r="A152" s="171" t="s">
        <v>1165</v>
      </c>
      <c r="B152" s="171" t="s">
        <v>886</v>
      </c>
      <c r="C152" s="171">
        <v>180</v>
      </c>
      <c r="D152" s="171" t="s">
        <v>871</v>
      </c>
      <c r="E152" s="171" t="s">
        <v>864</v>
      </c>
      <c r="J152" s="171">
        <v>725</v>
      </c>
      <c r="K152" s="171">
        <v>0</v>
      </c>
      <c r="L152" s="171">
        <v>0</v>
      </c>
      <c r="N152" s="171">
        <v>0</v>
      </c>
    </row>
    <row r="153" spans="1:14">
      <c r="A153" s="171" t="s">
        <v>1164</v>
      </c>
      <c r="B153" s="171" t="s">
        <v>886</v>
      </c>
      <c r="C153" s="171">
        <v>180</v>
      </c>
      <c r="D153" s="171" t="s">
        <v>869</v>
      </c>
      <c r="E153" s="171" t="s">
        <v>1163</v>
      </c>
      <c r="F153" s="173">
        <v>45778</v>
      </c>
      <c r="G153" s="173">
        <v>45778</v>
      </c>
      <c r="H153" s="173">
        <v>46227</v>
      </c>
      <c r="J153" s="171">
        <v>650</v>
      </c>
      <c r="K153" s="171">
        <v>780.74</v>
      </c>
      <c r="L153" s="171">
        <v>650</v>
      </c>
      <c r="M153" s="171">
        <v>0</v>
      </c>
      <c r="N153" s="171">
        <v>250</v>
      </c>
    </row>
    <row r="154" spans="1:14">
      <c r="A154" s="171" t="s">
        <v>1162</v>
      </c>
      <c r="B154" s="171" t="s">
        <v>886</v>
      </c>
      <c r="C154" s="171">
        <v>180</v>
      </c>
      <c r="D154" s="171" t="s">
        <v>885</v>
      </c>
      <c r="E154" s="171" t="s">
        <v>864</v>
      </c>
      <c r="J154" s="171">
        <v>650</v>
      </c>
      <c r="K154" s="171">
        <v>0</v>
      </c>
      <c r="L154" s="171">
        <v>0</v>
      </c>
      <c r="N154" s="171">
        <v>0</v>
      </c>
    </row>
    <row r="155" spans="1:14">
      <c r="A155" s="171" t="s">
        <v>1161</v>
      </c>
      <c r="B155" s="171" t="s">
        <v>886</v>
      </c>
      <c r="C155" s="171">
        <v>180</v>
      </c>
      <c r="D155" s="171" t="s">
        <v>869</v>
      </c>
      <c r="E155" s="171" t="s">
        <v>1160</v>
      </c>
      <c r="F155" s="173">
        <v>45597</v>
      </c>
      <c r="G155" s="173">
        <v>45860</v>
      </c>
      <c r="H155" s="173">
        <v>46227</v>
      </c>
      <c r="J155" s="171">
        <v>650</v>
      </c>
      <c r="K155" s="171">
        <v>721.85</v>
      </c>
      <c r="L155" s="171">
        <v>650</v>
      </c>
      <c r="M155" s="171">
        <v>0</v>
      </c>
      <c r="N155" s="172">
        <v>1300</v>
      </c>
    </row>
    <row r="156" spans="1:14">
      <c r="A156" s="171" t="s">
        <v>1159</v>
      </c>
      <c r="B156" s="171" t="s">
        <v>886</v>
      </c>
      <c r="C156" s="171">
        <v>180</v>
      </c>
      <c r="D156" s="171" t="s">
        <v>885</v>
      </c>
      <c r="E156" s="171" t="s">
        <v>864</v>
      </c>
      <c r="J156" s="171">
        <v>650</v>
      </c>
      <c r="K156" s="171">
        <v>0</v>
      </c>
      <c r="L156" s="171">
        <v>0</v>
      </c>
    </row>
    <row r="157" spans="1:14">
      <c r="A157" s="171" t="s">
        <v>1158</v>
      </c>
      <c r="B157" s="171" t="s">
        <v>886</v>
      </c>
      <c r="C157" s="171">
        <v>180</v>
      </c>
      <c r="D157" s="171" t="s">
        <v>951</v>
      </c>
      <c r="E157" s="171" t="s">
        <v>864</v>
      </c>
      <c r="J157" s="171">
        <v>725</v>
      </c>
      <c r="K157" s="171">
        <v>0</v>
      </c>
      <c r="L157" s="171">
        <v>0</v>
      </c>
    </row>
    <row r="158" spans="1:14">
      <c r="A158" s="171" t="s">
        <v>1157</v>
      </c>
      <c r="B158" s="171" t="s">
        <v>866</v>
      </c>
      <c r="C158" s="171">
        <v>75.75</v>
      </c>
      <c r="D158" s="171" t="s">
        <v>869</v>
      </c>
      <c r="E158" s="171" t="s">
        <v>1156</v>
      </c>
      <c r="F158" s="173">
        <v>45870</v>
      </c>
      <c r="G158" s="173">
        <v>45870</v>
      </c>
      <c r="H158" s="173">
        <v>46227</v>
      </c>
      <c r="J158" s="171">
        <v>525</v>
      </c>
      <c r="K158" s="171">
        <v>521.86</v>
      </c>
      <c r="L158" s="171">
        <v>450</v>
      </c>
      <c r="M158" s="171">
        <v>-471.01</v>
      </c>
      <c r="N158" s="171">
        <v>250</v>
      </c>
    </row>
    <row r="159" spans="1:14">
      <c r="A159" s="171" t="s">
        <v>1155</v>
      </c>
      <c r="B159" s="171" t="s">
        <v>866</v>
      </c>
      <c r="C159" s="171">
        <v>75.75</v>
      </c>
      <c r="D159" s="171" t="s">
        <v>869</v>
      </c>
      <c r="E159" s="171" t="s">
        <v>1154</v>
      </c>
      <c r="F159" s="173">
        <v>46176</v>
      </c>
      <c r="G159" s="173">
        <v>46176</v>
      </c>
      <c r="H159" s="173">
        <v>46387</v>
      </c>
      <c r="J159" s="172">
        <v>1200</v>
      </c>
      <c r="K159" s="171">
        <v>668.3</v>
      </c>
      <c r="L159" s="171">
        <v>625</v>
      </c>
      <c r="M159" s="171">
        <v>9.9700000000000006</v>
      </c>
      <c r="N159" s="171">
        <v>250</v>
      </c>
    </row>
    <row r="160" spans="1:14">
      <c r="A160" s="171" t="s">
        <v>1153</v>
      </c>
      <c r="B160" s="171" t="s">
        <v>866</v>
      </c>
      <c r="C160" s="171">
        <v>75.75</v>
      </c>
      <c r="D160" s="171" t="s">
        <v>869</v>
      </c>
      <c r="E160" s="171" t="s">
        <v>1152</v>
      </c>
      <c r="F160" s="173">
        <v>46175</v>
      </c>
      <c r="G160" s="173">
        <v>46175</v>
      </c>
      <c r="H160" s="173">
        <v>46387</v>
      </c>
      <c r="J160" s="172">
        <v>1950</v>
      </c>
      <c r="K160" s="171">
        <v>691.74</v>
      </c>
      <c r="L160" s="171">
        <v>625</v>
      </c>
      <c r="M160" s="171">
        <v>0</v>
      </c>
      <c r="N160" s="171">
        <v>250</v>
      </c>
    </row>
    <row r="161" spans="1:14">
      <c r="A161" s="171" t="s">
        <v>1151</v>
      </c>
      <c r="B161" s="171" t="s">
        <v>866</v>
      </c>
      <c r="C161" s="171">
        <v>75.75</v>
      </c>
      <c r="D161" s="171" t="s">
        <v>869</v>
      </c>
      <c r="E161" s="171" t="s">
        <v>1150</v>
      </c>
      <c r="F161" s="173">
        <v>46175</v>
      </c>
      <c r="G161" s="173">
        <v>46175</v>
      </c>
      <c r="H161" s="173">
        <v>46387</v>
      </c>
      <c r="J161" s="171">
        <v>600</v>
      </c>
      <c r="K161" s="171">
        <v>691.74</v>
      </c>
      <c r="L161" s="171">
        <v>625</v>
      </c>
      <c r="M161" s="171">
        <v>0</v>
      </c>
      <c r="N161" s="171">
        <v>250</v>
      </c>
    </row>
    <row r="162" spans="1:14">
      <c r="A162" s="171" t="s">
        <v>1149</v>
      </c>
      <c r="B162" s="171" t="s">
        <v>866</v>
      </c>
      <c r="C162" s="171">
        <v>75.75</v>
      </c>
      <c r="D162" s="171" t="s">
        <v>869</v>
      </c>
      <c r="E162" s="171" t="s">
        <v>1148</v>
      </c>
      <c r="F162" s="173">
        <v>46185</v>
      </c>
      <c r="G162" s="173">
        <v>46185</v>
      </c>
      <c r="H162" s="173">
        <v>46387</v>
      </c>
      <c r="J162" s="172">
        <v>1200</v>
      </c>
      <c r="K162" s="171">
        <v>479.06</v>
      </c>
      <c r="L162" s="171">
        <v>625</v>
      </c>
      <c r="M162" s="171">
        <v>8.23</v>
      </c>
      <c r="N162" s="171">
        <v>250</v>
      </c>
    </row>
    <row r="163" spans="1:14">
      <c r="A163" s="171" t="s">
        <v>1147</v>
      </c>
      <c r="B163" s="171" t="s">
        <v>866</v>
      </c>
      <c r="C163" s="171">
        <v>75.75</v>
      </c>
      <c r="D163" s="171" t="s">
        <v>918</v>
      </c>
      <c r="E163" s="171" t="s">
        <v>1146</v>
      </c>
      <c r="F163" s="173">
        <v>45846</v>
      </c>
      <c r="G163" s="173">
        <v>45846</v>
      </c>
      <c r="H163" s="173">
        <v>46227</v>
      </c>
      <c r="I163" s="173">
        <v>46183</v>
      </c>
      <c r="J163" s="171">
        <v>525</v>
      </c>
      <c r="K163" s="171">
        <v>859.09</v>
      </c>
      <c r="L163" s="171">
        <v>475</v>
      </c>
      <c r="M163" s="172">
        <v>2371.31</v>
      </c>
      <c r="N163" s="171">
        <v>250</v>
      </c>
    </row>
    <row r="164" spans="1:14">
      <c r="A164" s="171" t="s">
        <v>1145</v>
      </c>
      <c r="B164" s="171" t="s">
        <v>866</v>
      </c>
      <c r="C164" s="171">
        <v>75.75</v>
      </c>
      <c r="D164" s="171" t="s">
        <v>869</v>
      </c>
      <c r="E164" s="171" t="s">
        <v>1144</v>
      </c>
      <c r="F164" s="173">
        <v>46185</v>
      </c>
      <c r="G164" s="173">
        <v>46185</v>
      </c>
      <c r="H164" s="173">
        <v>46387</v>
      </c>
      <c r="J164" s="171">
        <v>525</v>
      </c>
      <c r="K164" s="171">
        <v>479.06</v>
      </c>
      <c r="L164" s="171">
        <v>625</v>
      </c>
      <c r="M164" s="171">
        <v>0</v>
      </c>
      <c r="N164" s="171">
        <v>250</v>
      </c>
    </row>
    <row r="165" spans="1:14">
      <c r="A165" s="171" t="s">
        <v>1143</v>
      </c>
      <c r="B165" s="171" t="s">
        <v>866</v>
      </c>
      <c r="C165" s="171">
        <v>75.75</v>
      </c>
      <c r="D165" s="171" t="s">
        <v>869</v>
      </c>
      <c r="E165" s="171" t="s">
        <v>1142</v>
      </c>
      <c r="F165" s="173">
        <v>46185</v>
      </c>
      <c r="G165" s="173">
        <v>46185</v>
      </c>
      <c r="H165" s="173">
        <v>46387</v>
      </c>
      <c r="J165" s="172">
        <v>1200</v>
      </c>
      <c r="K165" s="171">
        <v>479.06</v>
      </c>
      <c r="L165" s="171">
        <v>625</v>
      </c>
      <c r="M165" s="171">
        <v>8.23</v>
      </c>
      <c r="N165" s="171">
        <v>250</v>
      </c>
    </row>
    <row r="166" spans="1:14">
      <c r="A166" s="171" t="s">
        <v>1141</v>
      </c>
      <c r="B166" s="171" t="s">
        <v>866</v>
      </c>
      <c r="C166" s="171">
        <v>75.75</v>
      </c>
      <c r="D166" s="171" t="s">
        <v>869</v>
      </c>
      <c r="E166" s="171" t="s">
        <v>1140</v>
      </c>
      <c r="F166" s="173">
        <v>45520</v>
      </c>
      <c r="G166" s="173">
        <v>45860</v>
      </c>
      <c r="H166" s="173">
        <v>46227</v>
      </c>
      <c r="J166" s="171">
        <v>525</v>
      </c>
      <c r="K166" s="171">
        <v>619.12</v>
      </c>
      <c r="L166" s="171">
        <v>525</v>
      </c>
      <c r="M166" s="171">
        <v>0</v>
      </c>
      <c r="N166" s="171">
        <v>250</v>
      </c>
    </row>
    <row r="167" spans="1:14">
      <c r="A167" s="171" t="s">
        <v>1139</v>
      </c>
      <c r="B167" s="171" t="s">
        <v>866</v>
      </c>
      <c r="C167" s="171">
        <v>75.75</v>
      </c>
      <c r="D167" s="171" t="s">
        <v>865</v>
      </c>
      <c r="E167" s="171" t="s">
        <v>864</v>
      </c>
      <c r="J167" s="172">
        <v>1200</v>
      </c>
      <c r="K167" s="171">
        <v>0</v>
      </c>
      <c r="L167" s="171">
        <v>0</v>
      </c>
      <c r="N167" s="171">
        <v>0</v>
      </c>
    </row>
    <row r="168" spans="1:14">
      <c r="A168" s="171" t="s">
        <v>1138</v>
      </c>
      <c r="B168" s="171" t="s">
        <v>866</v>
      </c>
      <c r="C168" s="171">
        <v>75.75</v>
      </c>
      <c r="D168" s="171" t="s">
        <v>869</v>
      </c>
      <c r="E168" s="171" t="s">
        <v>1137</v>
      </c>
      <c r="F168" s="173">
        <v>45870</v>
      </c>
      <c r="G168" s="173">
        <v>45870</v>
      </c>
      <c r="H168" s="173">
        <v>46227</v>
      </c>
      <c r="J168" s="171">
        <v>525</v>
      </c>
      <c r="K168" s="171">
        <v>591.66999999999996</v>
      </c>
      <c r="L168" s="171">
        <v>450</v>
      </c>
      <c r="M168" s="171">
        <v>100</v>
      </c>
      <c r="N168" s="171">
        <v>250</v>
      </c>
    </row>
    <row r="169" spans="1:14">
      <c r="A169" s="171" t="s">
        <v>1136</v>
      </c>
      <c r="B169" s="171" t="s">
        <v>866</v>
      </c>
      <c r="C169" s="171">
        <v>75.75</v>
      </c>
      <c r="D169" s="171" t="s">
        <v>865</v>
      </c>
      <c r="E169" s="171" t="s">
        <v>864</v>
      </c>
      <c r="J169" s="171">
        <v>600</v>
      </c>
      <c r="K169" s="171">
        <v>0</v>
      </c>
      <c r="L169" s="171">
        <v>0</v>
      </c>
      <c r="N169" s="171">
        <v>0</v>
      </c>
    </row>
    <row r="170" spans="1:14">
      <c r="A170" s="171" t="s">
        <v>1135</v>
      </c>
      <c r="B170" s="171" t="s">
        <v>866</v>
      </c>
      <c r="C170" s="171">
        <v>75.75</v>
      </c>
      <c r="D170" s="171" t="s">
        <v>865</v>
      </c>
      <c r="E170" s="171" t="s">
        <v>864</v>
      </c>
      <c r="J170" s="171">
        <v>600</v>
      </c>
      <c r="K170" s="171">
        <v>0</v>
      </c>
      <c r="L170" s="171">
        <v>0</v>
      </c>
      <c r="N170" s="171">
        <v>0</v>
      </c>
    </row>
    <row r="171" spans="1:14">
      <c r="A171" s="171" t="s">
        <v>1134</v>
      </c>
      <c r="B171" s="171" t="s">
        <v>866</v>
      </c>
      <c r="C171" s="171">
        <v>75.75</v>
      </c>
      <c r="D171" s="171" t="s">
        <v>918</v>
      </c>
      <c r="E171" s="171" t="s">
        <v>1133</v>
      </c>
      <c r="F171" s="173">
        <v>45261</v>
      </c>
      <c r="G171" s="173">
        <v>45860</v>
      </c>
      <c r="H171" s="173">
        <v>46227</v>
      </c>
      <c r="I171" s="173">
        <v>46227</v>
      </c>
      <c r="J171" s="172">
        <v>1900</v>
      </c>
      <c r="K171" s="171">
        <v>543.26</v>
      </c>
      <c r="L171" s="171">
        <v>500</v>
      </c>
      <c r="M171" s="171">
        <v>-550.97</v>
      </c>
      <c r="N171" s="171">
        <v>250</v>
      </c>
    </row>
    <row r="172" spans="1:14">
      <c r="A172" s="171" t="s">
        <v>1132</v>
      </c>
      <c r="B172" s="171" t="s">
        <v>866</v>
      </c>
      <c r="C172" s="171">
        <v>75.75</v>
      </c>
      <c r="D172" s="171" t="s">
        <v>869</v>
      </c>
      <c r="E172" s="171" t="s">
        <v>1131</v>
      </c>
      <c r="F172" s="173">
        <v>46174</v>
      </c>
      <c r="G172" s="173">
        <v>46174</v>
      </c>
      <c r="H172" s="173">
        <v>46592</v>
      </c>
      <c r="J172" s="172">
        <v>1950</v>
      </c>
      <c r="K172" s="171">
        <v>363</v>
      </c>
      <c r="L172" s="171">
        <v>525</v>
      </c>
      <c r="M172" s="171">
        <v>0</v>
      </c>
      <c r="N172" s="171">
        <v>250</v>
      </c>
    </row>
    <row r="173" spans="1:14">
      <c r="A173" s="171" t="s">
        <v>1130</v>
      </c>
      <c r="B173" s="171" t="s">
        <v>866</v>
      </c>
      <c r="C173" s="171">
        <v>75.75</v>
      </c>
      <c r="D173" s="171" t="s">
        <v>918</v>
      </c>
      <c r="E173" s="171" t="s">
        <v>1129</v>
      </c>
      <c r="F173" s="173">
        <v>45566</v>
      </c>
      <c r="G173" s="173">
        <v>45809</v>
      </c>
      <c r="H173" s="173">
        <v>46227</v>
      </c>
      <c r="I173" s="173">
        <v>46227</v>
      </c>
      <c r="J173" s="172">
        <v>1050</v>
      </c>
      <c r="K173" s="171">
        <v>593.21</v>
      </c>
      <c r="L173" s="171">
        <v>500</v>
      </c>
      <c r="M173" s="172">
        <v>1293.92</v>
      </c>
      <c r="N173" s="171">
        <v>250</v>
      </c>
    </row>
    <row r="174" spans="1:14">
      <c r="A174" s="171" t="s">
        <v>1128</v>
      </c>
      <c r="B174" s="171" t="s">
        <v>886</v>
      </c>
      <c r="C174" s="171">
        <v>180</v>
      </c>
      <c r="D174" s="171" t="s">
        <v>869</v>
      </c>
      <c r="E174" s="171" t="s">
        <v>1127</v>
      </c>
      <c r="F174" s="173">
        <v>46143</v>
      </c>
      <c r="G174" s="173">
        <v>46143</v>
      </c>
      <c r="H174" s="173">
        <v>46599</v>
      </c>
      <c r="J174" s="171">
        <v>725</v>
      </c>
      <c r="K174" s="171">
        <v>650</v>
      </c>
      <c r="L174" s="171">
        <v>650</v>
      </c>
      <c r="M174" s="171">
        <v>0</v>
      </c>
      <c r="N174" s="171">
        <v>250</v>
      </c>
    </row>
    <row r="175" spans="1:14">
      <c r="A175" s="171" t="s">
        <v>1126</v>
      </c>
      <c r="B175" s="171" t="s">
        <v>886</v>
      </c>
      <c r="C175" s="171">
        <v>180</v>
      </c>
      <c r="D175" s="171" t="s">
        <v>869</v>
      </c>
      <c r="E175" s="171" t="s">
        <v>1125</v>
      </c>
      <c r="F175" s="173">
        <v>45887</v>
      </c>
      <c r="G175" s="173">
        <v>45890</v>
      </c>
      <c r="H175" s="173">
        <v>46227</v>
      </c>
      <c r="J175" s="171">
        <v>650</v>
      </c>
      <c r="K175" s="171">
        <v>723.12</v>
      </c>
      <c r="L175" s="171">
        <v>650</v>
      </c>
      <c r="M175" s="171">
        <v>0</v>
      </c>
      <c r="N175" s="171">
        <v>250</v>
      </c>
    </row>
    <row r="176" spans="1:14">
      <c r="A176" s="171" t="s">
        <v>1124</v>
      </c>
      <c r="B176" s="171" t="s">
        <v>886</v>
      </c>
      <c r="C176" s="171">
        <v>180</v>
      </c>
      <c r="D176" s="171" t="s">
        <v>918</v>
      </c>
      <c r="E176" s="171" t="s">
        <v>1123</v>
      </c>
      <c r="F176" s="173">
        <v>45505</v>
      </c>
      <c r="G176" s="173">
        <v>45860</v>
      </c>
      <c r="H176" s="173">
        <v>46227</v>
      </c>
      <c r="I176" s="173">
        <v>46227</v>
      </c>
      <c r="J176" s="171">
        <v>650</v>
      </c>
      <c r="K176" s="171">
        <v>730.89</v>
      </c>
      <c r="L176" s="171">
        <v>650</v>
      </c>
      <c r="M176" s="171">
        <v>-730.37</v>
      </c>
      <c r="N176" s="171">
        <v>250</v>
      </c>
    </row>
    <row r="177" spans="1:14">
      <c r="A177" s="171" t="s">
        <v>1122</v>
      </c>
      <c r="B177" s="171" t="s">
        <v>886</v>
      </c>
      <c r="C177" s="171">
        <v>180</v>
      </c>
      <c r="D177" s="171" t="s">
        <v>869</v>
      </c>
      <c r="E177" s="171" t="s">
        <v>1121</v>
      </c>
      <c r="F177" s="173">
        <v>45520</v>
      </c>
      <c r="G177" s="173">
        <v>45860</v>
      </c>
      <c r="H177" s="173">
        <v>46227</v>
      </c>
      <c r="J177" s="171">
        <v>650</v>
      </c>
      <c r="K177" s="171">
        <v>730.89</v>
      </c>
      <c r="L177" s="171">
        <v>650</v>
      </c>
      <c r="M177" s="171">
        <v>0</v>
      </c>
      <c r="N177" s="171">
        <v>250</v>
      </c>
    </row>
    <row r="178" spans="1:14">
      <c r="A178" s="171" t="s">
        <v>1120</v>
      </c>
      <c r="B178" s="171" t="s">
        <v>886</v>
      </c>
      <c r="C178" s="171">
        <v>180</v>
      </c>
      <c r="D178" s="171" t="s">
        <v>869</v>
      </c>
      <c r="E178" s="171" t="s">
        <v>1119</v>
      </c>
      <c r="F178" s="173">
        <v>45520</v>
      </c>
      <c r="G178" s="173">
        <v>45860</v>
      </c>
      <c r="H178" s="173">
        <v>46227</v>
      </c>
      <c r="J178" s="171">
        <v>650</v>
      </c>
      <c r="K178" s="171">
        <v>719.08</v>
      </c>
      <c r="L178" s="171">
        <v>650</v>
      </c>
      <c r="M178" s="171">
        <v>-71</v>
      </c>
      <c r="N178" s="171">
        <v>250</v>
      </c>
    </row>
    <row r="179" spans="1:14">
      <c r="A179" s="171" t="s">
        <v>1118</v>
      </c>
      <c r="B179" s="171" t="s">
        <v>886</v>
      </c>
      <c r="C179" s="171">
        <v>180</v>
      </c>
      <c r="D179" s="171" t="s">
        <v>869</v>
      </c>
      <c r="E179" s="171" t="s">
        <v>1117</v>
      </c>
      <c r="F179" s="173">
        <v>45413</v>
      </c>
      <c r="G179" s="173">
        <v>45860</v>
      </c>
      <c r="H179" s="173">
        <v>46227</v>
      </c>
      <c r="J179" s="171">
        <v>650</v>
      </c>
      <c r="K179" s="171">
        <v>719.08</v>
      </c>
      <c r="L179" s="171">
        <v>650</v>
      </c>
      <c r="M179" s="171">
        <v>0</v>
      </c>
      <c r="N179" s="171">
        <v>250</v>
      </c>
    </row>
    <row r="180" spans="1:14">
      <c r="A180" s="171" t="s">
        <v>1116</v>
      </c>
      <c r="B180" s="171" t="s">
        <v>886</v>
      </c>
      <c r="C180" s="171">
        <v>180</v>
      </c>
      <c r="D180" s="171" t="s">
        <v>869</v>
      </c>
      <c r="E180" s="171" t="s">
        <v>1115</v>
      </c>
      <c r="F180" s="173">
        <v>46175</v>
      </c>
      <c r="G180" s="173">
        <v>46175</v>
      </c>
      <c r="H180" s="173">
        <v>46592</v>
      </c>
      <c r="J180" s="171">
        <v>650</v>
      </c>
      <c r="K180" s="171">
        <v>715.9</v>
      </c>
      <c r="L180" s="171">
        <v>650</v>
      </c>
      <c r="M180" s="171">
        <v>0</v>
      </c>
      <c r="N180" s="171">
        <v>250</v>
      </c>
    </row>
    <row r="181" spans="1:14">
      <c r="A181" s="171" t="s">
        <v>1114</v>
      </c>
      <c r="B181" s="171" t="s">
        <v>886</v>
      </c>
      <c r="C181" s="171">
        <v>180</v>
      </c>
      <c r="D181" s="171" t="s">
        <v>951</v>
      </c>
      <c r="E181" s="171" t="s">
        <v>864</v>
      </c>
      <c r="J181" s="171">
        <v>650</v>
      </c>
      <c r="K181" s="171">
        <v>0</v>
      </c>
      <c r="L181" s="171">
        <v>0</v>
      </c>
    </row>
    <row r="182" spans="1:14">
      <c r="A182" s="171" t="s">
        <v>1113</v>
      </c>
      <c r="B182" s="171" t="s">
        <v>866</v>
      </c>
      <c r="C182" s="171">
        <v>75.75</v>
      </c>
      <c r="D182" s="171" t="s">
        <v>869</v>
      </c>
      <c r="E182" s="171" t="s">
        <v>1112</v>
      </c>
      <c r="F182" s="173">
        <v>46157</v>
      </c>
      <c r="G182" s="173">
        <v>46157</v>
      </c>
      <c r="H182" s="173">
        <v>46592</v>
      </c>
      <c r="J182" s="171">
        <v>600</v>
      </c>
      <c r="K182" s="171">
        <v>560</v>
      </c>
      <c r="L182" s="171">
        <v>560</v>
      </c>
      <c r="M182" s="171">
        <v>0</v>
      </c>
      <c r="N182" s="171">
        <v>250</v>
      </c>
    </row>
    <row r="183" spans="1:14">
      <c r="A183" s="171" t="s">
        <v>1111</v>
      </c>
      <c r="B183" s="171" t="s">
        <v>866</v>
      </c>
      <c r="C183" s="171">
        <v>75.75</v>
      </c>
      <c r="D183" s="171" t="s">
        <v>869</v>
      </c>
      <c r="E183" s="171" t="s">
        <v>1110</v>
      </c>
      <c r="F183" s="173">
        <v>46157</v>
      </c>
      <c r="G183" s="173">
        <v>46157</v>
      </c>
      <c r="H183" s="173">
        <v>46592</v>
      </c>
      <c r="J183" s="171">
        <v>600</v>
      </c>
      <c r="K183" s="171">
        <v>560</v>
      </c>
      <c r="L183" s="171">
        <v>560</v>
      </c>
      <c r="M183" s="171">
        <v>0</v>
      </c>
      <c r="N183" s="171">
        <v>250</v>
      </c>
    </row>
    <row r="184" spans="1:14">
      <c r="A184" s="171" t="s">
        <v>1109</v>
      </c>
      <c r="B184" s="171" t="s">
        <v>866</v>
      </c>
      <c r="C184" s="171">
        <v>75.75</v>
      </c>
      <c r="D184" s="171" t="s">
        <v>951</v>
      </c>
      <c r="E184" s="171" t="s">
        <v>864</v>
      </c>
      <c r="J184" s="172">
        <v>1050</v>
      </c>
      <c r="K184" s="171">
        <v>0</v>
      </c>
      <c r="L184" s="171">
        <v>0</v>
      </c>
    </row>
    <row r="185" spans="1:14">
      <c r="A185" s="171" t="s">
        <v>1108</v>
      </c>
      <c r="B185" s="171" t="s">
        <v>866</v>
      </c>
      <c r="C185" s="171">
        <v>75.75</v>
      </c>
      <c r="D185" s="171" t="s">
        <v>951</v>
      </c>
      <c r="E185" s="171" t="s">
        <v>864</v>
      </c>
      <c r="J185" s="172">
        <v>1050</v>
      </c>
      <c r="K185" s="171">
        <v>0</v>
      </c>
      <c r="L185" s="171">
        <v>0</v>
      </c>
    </row>
    <row r="186" spans="1:14">
      <c r="A186" s="171" t="s">
        <v>1107</v>
      </c>
      <c r="B186" s="171" t="s">
        <v>881</v>
      </c>
      <c r="C186" s="171">
        <v>300</v>
      </c>
      <c r="D186" s="171" t="s">
        <v>869</v>
      </c>
      <c r="E186" s="171" t="s">
        <v>1105</v>
      </c>
      <c r="F186" s="173">
        <v>46031</v>
      </c>
      <c r="G186" s="173">
        <v>46031</v>
      </c>
      <c r="H186" s="173">
        <v>46227</v>
      </c>
      <c r="J186" s="171">
        <v>0</v>
      </c>
      <c r="K186" s="171">
        <v>624.69000000000005</v>
      </c>
      <c r="L186" s="171">
        <v>599</v>
      </c>
      <c r="M186" s="171">
        <v>0</v>
      </c>
      <c r="N186" s="171">
        <v>125</v>
      </c>
    </row>
    <row r="187" spans="1:14">
      <c r="A187" s="171" t="s">
        <v>1106</v>
      </c>
      <c r="B187" s="171" t="s">
        <v>881</v>
      </c>
      <c r="C187" s="171">
        <v>300</v>
      </c>
      <c r="D187" s="171" t="s">
        <v>869</v>
      </c>
      <c r="E187" s="171" t="s">
        <v>1105</v>
      </c>
      <c r="F187" s="173">
        <v>46031</v>
      </c>
      <c r="G187" s="173">
        <v>46031</v>
      </c>
      <c r="H187" s="173">
        <v>46227</v>
      </c>
      <c r="J187" s="171">
        <v>0</v>
      </c>
      <c r="K187" s="171">
        <v>624.69000000000005</v>
      </c>
      <c r="L187" s="171">
        <v>599</v>
      </c>
      <c r="M187" s="171">
        <v>0</v>
      </c>
      <c r="N187" s="171">
        <v>125</v>
      </c>
    </row>
    <row r="188" spans="1:14">
      <c r="A188" s="171" t="s">
        <v>1104</v>
      </c>
      <c r="B188" s="171" t="s">
        <v>876</v>
      </c>
      <c r="C188" s="171">
        <v>262.5</v>
      </c>
      <c r="D188" s="171" t="s">
        <v>869</v>
      </c>
      <c r="E188" s="171" t="s">
        <v>1102</v>
      </c>
      <c r="F188" s="173">
        <v>46188</v>
      </c>
      <c r="G188" s="173">
        <v>46188</v>
      </c>
      <c r="H188" s="173">
        <v>46592</v>
      </c>
      <c r="J188" s="171">
        <v>549</v>
      </c>
      <c r="K188" s="171">
        <v>333.5</v>
      </c>
      <c r="L188" s="171">
        <v>555</v>
      </c>
      <c r="M188" s="171">
        <v>0</v>
      </c>
      <c r="N188" s="171">
        <v>125</v>
      </c>
    </row>
    <row r="189" spans="1:14">
      <c r="A189" s="171" t="s">
        <v>1103</v>
      </c>
      <c r="B189" s="171" t="s">
        <v>876</v>
      </c>
      <c r="C189" s="171">
        <v>262.5</v>
      </c>
      <c r="D189" s="171" t="s">
        <v>869</v>
      </c>
      <c r="E189" s="171" t="s">
        <v>1102</v>
      </c>
      <c r="F189" s="173">
        <v>46188</v>
      </c>
      <c r="G189" s="173">
        <v>46188</v>
      </c>
      <c r="H189" s="173">
        <v>46592</v>
      </c>
      <c r="J189" s="171">
        <v>624</v>
      </c>
      <c r="K189" s="171">
        <v>333.5</v>
      </c>
      <c r="L189" s="171">
        <v>555</v>
      </c>
      <c r="M189" s="171">
        <v>0</v>
      </c>
      <c r="N189" s="171">
        <v>125</v>
      </c>
    </row>
    <row r="190" spans="1:14">
      <c r="A190" s="171" t="s">
        <v>1101</v>
      </c>
      <c r="B190" s="171" t="s">
        <v>866</v>
      </c>
      <c r="C190" s="171">
        <v>75.75</v>
      </c>
      <c r="D190" s="171" t="s">
        <v>869</v>
      </c>
      <c r="E190" s="171" t="s">
        <v>1100</v>
      </c>
      <c r="F190" s="173">
        <v>46153</v>
      </c>
      <c r="G190" s="173">
        <v>46153</v>
      </c>
      <c r="H190" s="173">
        <v>46599</v>
      </c>
      <c r="J190" s="171">
        <v>600</v>
      </c>
      <c r="K190" s="171">
        <v>585</v>
      </c>
      <c r="L190" s="171">
        <v>585</v>
      </c>
      <c r="M190" s="171">
        <v>0</v>
      </c>
      <c r="N190" s="171">
        <v>250</v>
      </c>
    </row>
    <row r="191" spans="1:14">
      <c r="A191" s="171" t="s">
        <v>1099</v>
      </c>
      <c r="B191" s="171" t="s">
        <v>866</v>
      </c>
      <c r="C191" s="171">
        <v>75.75</v>
      </c>
      <c r="D191" s="171" t="s">
        <v>869</v>
      </c>
      <c r="E191" s="171" t="s">
        <v>1098</v>
      </c>
      <c r="F191" s="173">
        <v>46153</v>
      </c>
      <c r="G191" s="173">
        <v>46153</v>
      </c>
      <c r="H191" s="173">
        <v>46599</v>
      </c>
      <c r="J191" s="171">
        <v>600</v>
      </c>
      <c r="K191" s="171">
        <v>577.45000000000005</v>
      </c>
      <c r="L191" s="171">
        <v>525</v>
      </c>
      <c r="M191" s="171">
        <v>0</v>
      </c>
      <c r="N191" s="171">
        <v>250</v>
      </c>
    </row>
    <row r="192" spans="1:14">
      <c r="A192" s="171" t="s">
        <v>1097</v>
      </c>
      <c r="B192" s="171" t="s">
        <v>866</v>
      </c>
      <c r="C192" s="171">
        <v>75.75</v>
      </c>
      <c r="D192" s="171" t="s">
        <v>869</v>
      </c>
      <c r="E192" s="171" t="s">
        <v>1096</v>
      </c>
      <c r="F192" s="173">
        <v>46174</v>
      </c>
      <c r="G192" s="173">
        <v>46174</v>
      </c>
      <c r="H192" s="173">
        <v>46599</v>
      </c>
      <c r="J192" s="172">
        <v>1200</v>
      </c>
      <c r="K192" s="171">
        <v>613</v>
      </c>
      <c r="L192" s="171">
        <v>525</v>
      </c>
      <c r="M192" s="171">
        <v>13</v>
      </c>
      <c r="N192" s="171">
        <v>0</v>
      </c>
    </row>
    <row r="193" spans="1:14">
      <c r="A193" s="171" t="s">
        <v>1095</v>
      </c>
      <c r="B193" s="171" t="s">
        <v>866</v>
      </c>
      <c r="C193" s="171">
        <v>75.75</v>
      </c>
      <c r="D193" s="171" t="s">
        <v>869</v>
      </c>
      <c r="E193" s="171" t="s">
        <v>1094</v>
      </c>
      <c r="F193" s="173">
        <v>46177</v>
      </c>
      <c r="G193" s="173">
        <v>46177</v>
      </c>
      <c r="H193" s="173">
        <v>46592</v>
      </c>
      <c r="J193" s="171">
        <v>600</v>
      </c>
      <c r="K193" s="171">
        <v>547.5</v>
      </c>
      <c r="L193" s="171">
        <v>525</v>
      </c>
      <c r="M193" s="171">
        <v>0</v>
      </c>
      <c r="N193" s="171">
        <v>0</v>
      </c>
    </row>
    <row r="194" spans="1:14">
      <c r="A194" s="171" t="s">
        <v>1093</v>
      </c>
      <c r="B194" s="171" t="s">
        <v>866</v>
      </c>
      <c r="C194" s="171">
        <v>75.75</v>
      </c>
      <c r="D194" s="171" t="s">
        <v>869</v>
      </c>
      <c r="E194" s="171" t="s">
        <v>1092</v>
      </c>
      <c r="F194" s="173">
        <v>46003</v>
      </c>
      <c r="G194" s="173">
        <v>46003</v>
      </c>
      <c r="H194" s="173">
        <v>46227</v>
      </c>
      <c r="J194" s="172">
        <v>1900</v>
      </c>
      <c r="K194" s="171">
        <v>626.58000000000004</v>
      </c>
      <c r="L194" s="171">
        <v>560</v>
      </c>
      <c r="M194" s="171">
        <v>13</v>
      </c>
      <c r="N194" s="171">
        <v>250</v>
      </c>
    </row>
    <row r="195" spans="1:14">
      <c r="A195" s="171" t="s">
        <v>1091</v>
      </c>
      <c r="B195" s="171" t="s">
        <v>866</v>
      </c>
      <c r="C195" s="171">
        <v>75.75</v>
      </c>
      <c r="D195" s="171" t="s">
        <v>869</v>
      </c>
      <c r="E195" s="171" t="s">
        <v>1090</v>
      </c>
      <c r="F195" s="173">
        <v>45884</v>
      </c>
      <c r="G195" s="173">
        <v>45889</v>
      </c>
      <c r="H195" s="173">
        <v>46227</v>
      </c>
      <c r="J195" s="171">
        <v>525</v>
      </c>
      <c r="K195" s="171">
        <v>591.58000000000004</v>
      </c>
      <c r="L195" s="171">
        <v>525</v>
      </c>
      <c r="M195" s="171">
        <v>0</v>
      </c>
      <c r="N195" s="171">
        <v>250</v>
      </c>
    </row>
    <row r="196" spans="1:14">
      <c r="A196" s="171" t="s">
        <v>1089</v>
      </c>
      <c r="B196" s="171" t="s">
        <v>866</v>
      </c>
      <c r="C196" s="171">
        <v>75.75</v>
      </c>
      <c r="D196" s="171" t="s">
        <v>869</v>
      </c>
      <c r="E196" s="171" t="s">
        <v>1088</v>
      </c>
      <c r="F196" s="173">
        <v>45890</v>
      </c>
      <c r="G196" s="173">
        <v>45890</v>
      </c>
      <c r="H196" s="173">
        <v>46227</v>
      </c>
      <c r="J196" s="172">
        <v>1050</v>
      </c>
      <c r="K196" s="171">
        <v>578.58000000000004</v>
      </c>
      <c r="L196" s="171">
        <v>525</v>
      </c>
      <c r="M196" s="171">
        <v>0</v>
      </c>
      <c r="N196" s="171">
        <v>250</v>
      </c>
    </row>
    <row r="197" spans="1:14">
      <c r="A197" s="171" t="s">
        <v>1087</v>
      </c>
      <c r="B197" s="171" t="s">
        <v>866</v>
      </c>
      <c r="C197" s="171">
        <v>75.75</v>
      </c>
      <c r="D197" s="171" t="s">
        <v>865</v>
      </c>
      <c r="E197" s="171" t="s">
        <v>864</v>
      </c>
      <c r="J197" s="171">
        <v>600</v>
      </c>
      <c r="K197" s="171">
        <v>0</v>
      </c>
      <c r="L197" s="171">
        <v>0</v>
      </c>
      <c r="N197" s="171">
        <v>0</v>
      </c>
    </row>
    <row r="198" spans="1:14">
      <c r="A198" s="171" t="s">
        <v>1086</v>
      </c>
      <c r="B198" s="171" t="s">
        <v>886</v>
      </c>
      <c r="C198" s="171">
        <v>180</v>
      </c>
      <c r="D198" s="171" t="s">
        <v>918</v>
      </c>
      <c r="E198" s="171" t="s">
        <v>1085</v>
      </c>
      <c r="F198" s="173">
        <v>45532</v>
      </c>
      <c r="G198" s="173">
        <v>45860</v>
      </c>
      <c r="H198" s="173">
        <v>46227</v>
      </c>
      <c r="I198" s="173">
        <v>46227</v>
      </c>
      <c r="J198" s="171">
        <v>650</v>
      </c>
      <c r="K198" s="171">
        <v>689.05</v>
      </c>
      <c r="L198" s="171">
        <v>650</v>
      </c>
      <c r="M198" s="171">
        <v>0</v>
      </c>
      <c r="N198" s="171">
        <v>250</v>
      </c>
    </row>
    <row r="199" spans="1:14">
      <c r="A199" s="171" t="s">
        <v>1084</v>
      </c>
      <c r="B199" s="171" t="s">
        <v>886</v>
      </c>
      <c r="C199" s="171">
        <v>180</v>
      </c>
      <c r="D199" s="171" t="s">
        <v>918</v>
      </c>
      <c r="E199" s="171" t="s">
        <v>1083</v>
      </c>
      <c r="F199" s="173">
        <v>45890</v>
      </c>
      <c r="G199" s="173">
        <v>45890</v>
      </c>
      <c r="H199" s="173">
        <v>46227</v>
      </c>
      <c r="I199" s="173">
        <v>46227</v>
      </c>
      <c r="J199" s="171">
        <v>650</v>
      </c>
      <c r="K199" s="171">
        <v>689.05</v>
      </c>
      <c r="L199" s="171">
        <v>650</v>
      </c>
      <c r="M199" s="171">
        <v>0</v>
      </c>
      <c r="N199" s="171">
        <v>250</v>
      </c>
    </row>
    <row r="200" spans="1:14">
      <c r="A200" s="171" t="s">
        <v>1082</v>
      </c>
      <c r="B200" s="171" t="s">
        <v>886</v>
      </c>
      <c r="C200" s="171">
        <v>180</v>
      </c>
      <c r="D200" s="171" t="s">
        <v>918</v>
      </c>
      <c r="E200" s="171" t="s">
        <v>1081</v>
      </c>
      <c r="F200" s="173">
        <v>45505</v>
      </c>
      <c r="G200" s="173">
        <v>45860</v>
      </c>
      <c r="H200" s="173">
        <v>46227</v>
      </c>
      <c r="I200" s="173">
        <v>46227</v>
      </c>
      <c r="J200" s="171">
        <v>650</v>
      </c>
      <c r="K200" s="171">
        <v>696.51</v>
      </c>
      <c r="L200" s="171">
        <v>650</v>
      </c>
      <c r="M200" s="171">
        <v>0</v>
      </c>
      <c r="N200" s="171">
        <v>250</v>
      </c>
    </row>
    <row r="201" spans="1:14">
      <c r="A201" s="171" t="s">
        <v>1080</v>
      </c>
      <c r="B201" s="171" t="s">
        <v>886</v>
      </c>
      <c r="C201" s="171">
        <v>180</v>
      </c>
      <c r="D201" s="171" t="s">
        <v>918</v>
      </c>
      <c r="E201" s="171" t="s">
        <v>1079</v>
      </c>
      <c r="F201" s="173">
        <v>45413</v>
      </c>
      <c r="G201" s="173">
        <v>45860</v>
      </c>
      <c r="H201" s="173">
        <v>46227</v>
      </c>
      <c r="I201" s="173">
        <v>46227</v>
      </c>
      <c r="J201" s="171">
        <v>650</v>
      </c>
      <c r="K201" s="171">
        <v>709.51</v>
      </c>
      <c r="L201" s="171">
        <v>650</v>
      </c>
      <c r="M201" s="171">
        <v>0</v>
      </c>
      <c r="N201" s="171">
        <v>250</v>
      </c>
    </row>
    <row r="202" spans="1:14">
      <c r="A202" s="171" t="s">
        <v>1078</v>
      </c>
      <c r="B202" s="171" t="s">
        <v>886</v>
      </c>
      <c r="C202" s="171">
        <v>180</v>
      </c>
      <c r="D202" s="171" t="s">
        <v>869</v>
      </c>
      <c r="E202" s="171" t="s">
        <v>1076</v>
      </c>
      <c r="F202" s="173">
        <v>46052</v>
      </c>
      <c r="G202" s="173">
        <v>46082</v>
      </c>
      <c r="J202" s="171">
        <v>725</v>
      </c>
      <c r="K202" s="171">
        <v>777.93</v>
      </c>
      <c r="L202" s="172">
        <v>2100</v>
      </c>
      <c r="M202" s="171">
        <v>0</v>
      </c>
      <c r="N202" s="171">
        <v>250</v>
      </c>
    </row>
    <row r="203" spans="1:14">
      <c r="A203" s="171" t="s">
        <v>1077</v>
      </c>
      <c r="B203" s="171" t="s">
        <v>886</v>
      </c>
      <c r="C203" s="171">
        <v>180</v>
      </c>
      <c r="D203" s="171" t="s">
        <v>869</v>
      </c>
      <c r="E203" s="171" t="s">
        <v>1076</v>
      </c>
      <c r="F203" s="173">
        <v>46052</v>
      </c>
      <c r="G203" s="173">
        <v>46082</v>
      </c>
      <c r="J203" s="171">
        <v>725</v>
      </c>
      <c r="K203" s="171">
        <v>777.93</v>
      </c>
      <c r="L203" s="172">
        <v>2100</v>
      </c>
      <c r="M203" s="171">
        <v>0</v>
      </c>
      <c r="N203" s="171">
        <v>250</v>
      </c>
    </row>
    <row r="204" spans="1:14">
      <c r="A204" s="171" t="s">
        <v>1075</v>
      </c>
      <c r="B204" s="171" t="s">
        <v>886</v>
      </c>
      <c r="C204" s="171">
        <v>180</v>
      </c>
      <c r="D204" s="171" t="s">
        <v>869</v>
      </c>
      <c r="E204" s="171" t="s">
        <v>1073</v>
      </c>
      <c r="F204" s="173">
        <v>46031</v>
      </c>
      <c r="G204" s="173">
        <v>46031</v>
      </c>
      <c r="H204" s="173">
        <v>46227</v>
      </c>
      <c r="J204" s="171">
        <v>650</v>
      </c>
      <c r="K204" s="171">
        <v>671.87</v>
      </c>
      <c r="L204" s="171">
        <v>650</v>
      </c>
      <c r="M204" s="171">
        <v>0</v>
      </c>
      <c r="N204" s="171">
        <v>125</v>
      </c>
    </row>
    <row r="205" spans="1:14">
      <c r="A205" s="171" t="s">
        <v>1074</v>
      </c>
      <c r="B205" s="171" t="s">
        <v>886</v>
      </c>
      <c r="C205" s="171">
        <v>180</v>
      </c>
      <c r="D205" s="171" t="s">
        <v>869</v>
      </c>
      <c r="E205" s="171" t="s">
        <v>1073</v>
      </c>
      <c r="F205" s="173">
        <v>46031</v>
      </c>
      <c r="G205" s="173">
        <v>46031</v>
      </c>
      <c r="H205" s="173">
        <v>46227</v>
      </c>
      <c r="J205" s="171">
        <v>725</v>
      </c>
      <c r="K205" s="171">
        <v>671.87</v>
      </c>
      <c r="L205" s="171">
        <v>650</v>
      </c>
      <c r="M205" s="171">
        <v>0</v>
      </c>
      <c r="N205" s="171">
        <v>125</v>
      </c>
    </row>
    <row r="206" spans="1:14">
      <c r="A206" s="171" t="s">
        <v>1072</v>
      </c>
      <c r="B206" s="171" t="s">
        <v>866</v>
      </c>
      <c r="C206" s="171">
        <v>75.75</v>
      </c>
      <c r="D206" s="171" t="s">
        <v>865</v>
      </c>
      <c r="E206" s="171" t="s">
        <v>864</v>
      </c>
      <c r="J206" s="171">
        <v>600</v>
      </c>
      <c r="K206" s="171">
        <v>0</v>
      </c>
      <c r="L206" s="171">
        <v>0</v>
      </c>
      <c r="N206" s="171">
        <v>0</v>
      </c>
    </row>
    <row r="207" spans="1:14">
      <c r="A207" s="171" t="s">
        <v>1071</v>
      </c>
      <c r="B207" s="171" t="s">
        <v>866</v>
      </c>
      <c r="C207" s="171">
        <v>75.75</v>
      </c>
      <c r="D207" s="171" t="s">
        <v>869</v>
      </c>
      <c r="E207" s="171" t="s">
        <v>1070</v>
      </c>
      <c r="F207" s="173">
        <v>46162</v>
      </c>
      <c r="G207" s="173">
        <v>46162</v>
      </c>
      <c r="H207" s="173">
        <v>46592</v>
      </c>
      <c r="J207" s="171">
        <v>600</v>
      </c>
      <c r="K207" s="171">
        <v>560</v>
      </c>
      <c r="L207" s="171">
        <v>560</v>
      </c>
      <c r="M207" s="171">
        <v>0</v>
      </c>
      <c r="N207" s="171">
        <v>250</v>
      </c>
    </row>
    <row r="208" spans="1:14">
      <c r="A208" s="171" t="s">
        <v>1069</v>
      </c>
      <c r="B208" s="171" t="s">
        <v>866</v>
      </c>
      <c r="C208" s="171">
        <v>75.75</v>
      </c>
      <c r="D208" s="171" t="s">
        <v>869</v>
      </c>
      <c r="E208" s="171" t="s">
        <v>1068</v>
      </c>
      <c r="F208" s="173">
        <v>46176</v>
      </c>
      <c r="G208" s="173">
        <v>46176</v>
      </c>
      <c r="H208" s="173">
        <v>46592</v>
      </c>
      <c r="J208" s="171">
        <v>525</v>
      </c>
      <c r="K208" s="171">
        <v>576.70000000000005</v>
      </c>
      <c r="L208" s="171">
        <v>525</v>
      </c>
      <c r="M208" s="171">
        <v>-0.43</v>
      </c>
      <c r="N208" s="171">
        <v>0</v>
      </c>
    </row>
    <row r="209" spans="1:14">
      <c r="A209" s="171" t="s">
        <v>1067</v>
      </c>
      <c r="B209" s="171" t="s">
        <v>866</v>
      </c>
      <c r="C209" s="171">
        <v>75.75</v>
      </c>
      <c r="D209" s="171" t="s">
        <v>865</v>
      </c>
      <c r="E209" s="171" t="s">
        <v>864</v>
      </c>
      <c r="J209" s="172">
        <v>1200</v>
      </c>
      <c r="K209" s="171">
        <v>0</v>
      </c>
      <c r="L209" s="171">
        <v>0</v>
      </c>
      <c r="N209" s="171">
        <v>0</v>
      </c>
    </row>
    <row r="210" spans="1:14">
      <c r="A210" s="171" t="s">
        <v>1066</v>
      </c>
      <c r="B210" s="171" t="s">
        <v>866</v>
      </c>
      <c r="C210" s="171">
        <v>75.75</v>
      </c>
      <c r="D210" s="171" t="s">
        <v>865</v>
      </c>
      <c r="E210" s="171" t="s">
        <v>864</v>
      </c>
      <c r="J210" s="171">
        <v>600</v>
      </c>
      <c r="K210" s="171">
        <v>0</v>
      </c>
      <c r="L210" s="171">
        <v>0</v>
      </c>
      <c r="N210" s="171">
        <v>0</v>
      </c>
    </row>
    <row r="211" spans="1:14">
      <c r="A211" s="171" t="s">
        <v>1065</v>
      </c>
      <c r="B211" s="171" t="s">
        <v>866</v>
      </c>
      <c r="C211" s="171">
        <v>75.75</v>
      </c>
      <c r="D211" s="171" t="s">
        <v>865</v>
      </c>
      <c r="E211" s="171" t="s">
        <v>864</v>
      </c>
      <c r="J211" s="172">
        <v>1950</v>
      </c>
      <c r="K211" s="171">
        <v>0</v>
      </c>
      <c r="L211" s="171">
        <v>0</v>
      </c>
      <c r="N211" s="171">
        <v>0</v>
      </c>
    </row>
    <row r="212" spans="1:14">
      <c r="A212" s="171" t="s">
        <v>1064</v>
      </c>
      <c r="B212" s="171" t="s">
        <v>866</v>
      </c>
      <c r="C212" s="171">
        <v>75.75</v>
      </c>
      <c r="D212" s="171" t="s">
        <v>869</v>
      </c>
      <c r="E212" s="171" t="s">
        <v>1063</v>
      </c>
      <c r="F212" s="173">
        <v>45537</v>
      </c>
      <c r="G212" s="173">
        <v>45860</v>
      </c>
      <c r="H212" s="173">
        <v>46227</v>
      </c>
      <c r="J212" s="171">
        <v>525</v>
      </c>
      <c r="K212" s="171">
        <v>556.74</v>
      </c>
      <c r="L212" s="171">
        <v>500</v>
      </c>
      <c r="M212" s="171">
        <v>0</v>
      </c>
      <c r="N212" s="171">
        <v>250</v>
      </c>
    </row>
    <row r="213" spans="1:14">
      <c r="A213" s="171" t="s">
        <v>1062</v>
      </c>
      <c r="B213" s="171" t="s">
        <v>866</v>
      </c>
      <c r="C213" s="171">
        <v>75.75</v>
      </c>
      <c r="D213" s="171" t="s">
        <v>865</v>
      </c>
      <c r="E213" s="171" t="s">
        <v>864</v>
      </c>
      <c r="J213" s="171">
        <v>600</v>
      </c>
      <c r="K213" s="171">
        <v>0</v>
      </c>
      <c r="L213" s="171">
        <v>0</v>
      </c>
      <c r="N213" s="171">
        <v>0</v>
      </c>
    </row>
    <row r="214" spans="1:14">
      <c r="A214" s="171" t="s">
        <v>1061</v>
      </c>
      <c r="B214" s="171" t="s">
        <v>866</v>
      </c>
      <c r="C214" s="171">
        <v>75.75</v>
      </c>
      <c r="D214" s="171" t="s">
        <v>865</v>
      </c>
      <c r="E214" s="171" t="s">
        <v>864</v>
      </c>
      <c r="J214" s="172">
        <v>1200</v>
      </c>
      <c r="K214" s="171">
        <v>0</v>
      </c>
      <c r="L214" s="171">
        <v>0</v>
      </c>
      <c r="N214" s="171">
        <v>0</v>
      </c>
    </row>
    <row r="215" spans="1:14">
      <c r="A215" s="171" t="s">
        <v>1060</v>
      </c>
      <c r="B215" s="171" t="s">
        <v>866</v>
      </c>
      <c r="C215" s="171">
        <v>75.75</v>
      </c>
      <c r="D215" s="171" t="s">
        <v>865</v>
      </c>
      <c r="E215" s="171" t="s">
        <v>864</v>
      </c>
      <c r="J215" s="171">
        <v>600</v>
      </c>
      <c r="K215" s="171">
        <v>0</v>
      </c>
      <c r="L215" s="171">
        <v>0</v>
      </c>
      <c r="N215" s="171">
        <v>0</v>
      </c>
    </row>
    <row r="216" spans="1:14">
      <c r="A216" s="171" t="s">
        <v>1059</v>
      </c>
      <c r="B216" s="171" t="s">
        <v>866</v>
      </c>
      <c r="C216" s="171">
        <v>75.75</v>
      </c>
      <c r="D216" s="171" t="s">
        <v>865</v>
      </c>
      <c r="E216" s="171" t="s">
        <v>864</v>
      </c>
      <c r="J216" s="172">
        <v>1200</v>
      </c>
      <c r="K216" s="171">
        <v>0</v>
      </c>
      <c r="L216" s="171">
        <v>0</v>
      </c>
      <c r="N216" s="171">
        <v>0</v>
      </c>
    </row>
    <row r="217" spans="1:14">
      <c r="A217" s="171" t="s">
        <v>1058</v>
      </c>
      <c r="B217" s="171" t="s">
        <v>866</v>
      </c>
      <c r="C217" s="171">
        <v>75.75</v>
      </c>
      <c r="D217" s="171" t="s">
        <v>865</v>
      </c>
      <c r="E217" s="171" t="s">
        <v>864</v>
      </c>
      <c r="J217" s="172">
        <v>1950</v>
      </c>
      <c r="K217" s="171">
        <v>0</v>
      </c>
      <c r="L217" s="171">
        <v>0</v>
      </c>
      <c r="N217" s="171">
        <v>0</v>
      </c>
    </row>
    <row r="218" spans="1:14">
      <c r="A218" s="171" t="s">
        <v>1057</v>
      </c>
      <c r="B218" s="171" t="s">
        <v>866</v>
      </c>
      <c r="C218" s="171">
        <v>75.75</v>
      </c>
      <c r="D218" s="171" t="s">
        <v>869</v>
      </c>
      <c r="E218" s="171" t="s">
        <v>1055</v>
      </c>
      <c r="F218" s="173">
        <v>46098</v>
      </c>
      <c r="G218" s="173">
        <v>46098</v>
      </c>
      <c r="H218" s="173">
        <v>46234</v>
      </c>
      <c r="J218" s="172">
        <v>1050</v>
      </c>
      <c r="K218" s="171">
        <v>606.5</v>
      </c>
      <c r="L218" s="171">
        <v>525</v>
      </c>
      <c r="M218" s="171">
        <v>356.5</v>
      </c>
      <c r="N218" s="171">
        <v>125</v>
      </c>
    </row>
    <row r="219" spans="1:14">
      <c r="A219" s="171" t="s">
        <v>1056</v>
      </c>
      <c r="B219" s="171" t="s">
        <v>866</v>
      </c>
      <c r="C219" s="171">
        <v>75.75</v>
      </c>
      <c r="D219" s="171" t="s">
        <v>869</v>
      </c>
      <c r="E219" s="171" t="s">
        <v>1055</v>
      </c>
      <c r="F219" s="173">
        <v>46098</v>
      </c>
      <c r="G219" s="173">
        <v>46098</v>
      </c>
      <c r="H219" s="173">
        <v>46234</v>
      </c>
      <c r="J219" s="172">
        <v>1050</v>
      </c>
      <c r="K219" s="171">
        <v>606.49</v>
      </c>
      <c r="L219" s="171">
        <v>525</v>
      </c>
      <c r="M219" s="171">
        <v>356.49</v>
      </c>
      <c r="N219" s="171">
        <v>125</v>
      </c>
    </row>
    <row r="220" spans="1:14">
      <c r="A220" s="171" t="s">
        <v>1054</v>
      </c>
      <c r="B220" s="171" t="s">
        <v>866</v>
      </c>
      <c r="C220" s="171">
        <v>75.75</v>
      </c>
      <c r="D220" s="171" t="s">
        <v>918</v>
      </c>
      <c r="E220" s="171" t="s">
        <v>1052</v>
      </c>
      <c r="F220" s="173">
        <v>46097</v>
      </c>
      <c r="G220" s="173">
        <v>46097</v>
      </c>
      <c r="H220" s="173">
        <v>46234</v>
      </c>
      <c r="I220" s="173">
        <v>46168</v>
      </c>
      <c r="J220" s="172">
        <v>1950</v>
      </c>
      <c r="K220" s="171">
        <v>629.16999999999996</v>
      </c>
      <c r="L220" s="171">
        <v>425</v>
      </c>
      <c r="M220" s="172">
        <v>1863.65</v>
      </c>
      <c r="N220" s="171">
        <v>-37.5</v>
      </c>
    </row>
    <row r="221" spans="1:14">
      <c r="A221" s="171" t="s">
        <v>1053</v>
      </c>
      <c r="B221" s="171" t="s">
        <v>866</v>
      </c>
      <c r="C221" s="171">
        <v>75.75</v>
      </c>
      <c r="D221" s="171" t="s">
        <v>918</v>
      </c>
      <c r="E221" s="171" t="s">
        <v>1052</v>
      </c>
      <c r="F221" s="173">
        <v>46097</v>
      </c>
      <c r="G221" s="173">
        <v>46097</v>
      </c>
      <c r="H221" s="173">
        <v>46234</v>
      </c>
      <c r="I221" s="173">
        <v>46168</v>
      </c>
      <c r="J221" s="171">
        <v>600</v>
      </c>
      <c r="K221" s="171">
        <v>629.16999999999996</v>
      </c>
      <c r="L221" s="171">
        <v>425</v>
      </c>
      <c r="M221" s="172">
        <v>1863.66</v>
      </c>
      <c r="N221" s="171">
        <v>-37.5</v>
      </c>
    </row>
    <row r="222" spans="1:14">
      <c r="A222" s="171" t="s">
        <v>1051</v>
      </c>
      <c r="B222" s="171" t="s">
        <v>866</v>
      </c>
      <c r="C222" s="171">
        <v>75.75</v>
      </c>
      <c r="D222" s="171" t="s">
        <v>869</v>
      </c>
      <c r="E222" s="171" t="s">
        <v>1047</v>
      </c>
      <c r="F222" s="173">
        <v>46127</v>
      </c>
      <c r="G222" s="173">
        <v>46127</v>
      </c>
      <c r="H222" s="173">
        <v>46234</v>
      </c>
      <c r="J222" s="171">
        <v>600</v>
      </c>
      <c r="K222" s="171">
        <v>490.54</v>
      </c>
      <c r="L222" s="171">
        <v>483.75</v>
      </c>
      <c r="M222" s="171">
        <v>0</v>
      </c>
      <c r="N222" s="171">
        <v>0</v>
      </c>
    </row>
    <row r="223" spans="1:14">
      <c r="A223" s="171" t="s">
        <v>1050</v>
      </c>
      <c r="B223" s="171" t="s">
        <v>866</v>
      </c>
      <c r="C223" s="171">
        <v>75.75</v>
      </c>
      <c r="D223" s="171" t="s">
        <v>869</v>
      </c>
      <c r="E223" s="171" t="s">
        <v>1047</v>
      </c>
      <c r="F223" s="173">
        <v>46127</v>
      </c>
      <c r="G223" s="173">
        <v>46127</v>
      </c>
      <c r="H223" s="173">
        <v>46234</v>
      </c>
      <c r="J223" s="171">
        <v>600</v>
      </c>
      <c r="K223" s="171">
        <v>490.53</v>
      </c>
      <c r="L223" s="171">
        <v>483.75</v>
      </c>
      <c r="M223" s="171">
        <v>0</v>
      </c>
      <c r="N223" s="171">
        <v>0</v>
      </c>
    </row>
    <row r="224" spans="1:14">
      <c r="A224" s="171" t="s">
        <v>1049</v>
      </c>
      <c r="B224" s="171" t="s">
        <v>866</v>
      </c>
      <c r="C224" s="171">
        <v>75.75</v>
      </c>
      <c r="D224" s="171" t="s">
        <v>869</v>
      </c>
      <c r="E224" s="171" t="s">
        <v>1047</v>
      </c>
      <c r="F224" s="173">
        <v>46127</v>
      </c>
      <c r="G224" s="173">
        <v>46127</v>
      </c>
      <c r="H224" s="173">
        <v>46234</v>
      </c>
      <c r="J224" s="172">
        <v>1050</v>
      </c>
      <c r="K224" s="171">
        <v>490.53</v>
      </c>
      <c r="L224" s="171">
        <v>483.75</v>
      </c>
      <c r="M224" s="171">
        <v>0</v>
      </c>
      <c r="N224" s="171">
        <v>0</v>
      </c>
    </row>
    <row r="225" spans="1:14">
      <c r="A225" s="171" t="s">
        <v>1048</v>
      </c>
      <c r="B225" s="171" t="s">
        <v>866</v>
      </c>
      <c r="C225" s="171">
        <v>75.75</v>
      </c>
      <c r="D225" s="171" t="s">
        <v>869</v>
      </c>
      <c r="E225" s="171" t="s">
        <v>1047</v>
      </c>
      <c r="F225" s="173">
        <v>46127</v>
      </c>
      <c r="G225" s="173">
        <v>46127</v>
      </c>
      <c r="H225" s="173">
        <v>46234</v>
      </c>
      <c r="J225" s="172">
        <v>1900</v>
      </c>
      <c r="K225" s="171">
        <v>490.54</v>
      </c>
      <c r="L225" s="171">
        <v>483.75</v>
      </c>
      <c r="M225" s="171">
        <v>0</v>
      </c>
      <c r="N225" s="171">
        <v>0</v>
      </c>
    </row>
    <row r="226" spans="1:14">
      <c r="A226" s="171" t="s">
        <v>1046</v>
      </c>
      <c r="B226" s="171" t="s">
        <v>866</v>
      </c>
      <c r="C226" s="171">
        <v>75.75</v>
      </c>
      <c r="D226" s="171" t="s">
        <v>865</v>
      </c>
      <c r="E226" s="171" t="s">
        <v>864</v>
      </c>
      <c r="J226" s="171">
        <v>600</v>
      </c>
      <c r="K226" s="171">
        <v>0</v>
      </c>
      <c r="L226" s="171">
        <v>0</v>
      </c>
      <c r="N226" s="171">
        <v>0</v>
      </c>
    </row>
    <row r="227" spans="1:14">
      <c r="A227" s="171" t="s">
        <v>1045</v>
      </c>
      <c r="B227" s="171" t="s">
        <v>866</v>
      </c>
      <c r="C227" s="171">
        <v>75.75</v>
      </c>
      <c r="D227" s="171" t="s">
        <v>865</v>
      </c>
      <c r="E227" s="171" t="s">
        <v>864</v>
      </c>
      <c r="J227" s="172">
        <v>1950</v>
      </c>
      <c r="K227" s="171">
        <v>0</v>
      </c>
      <c r="L227" s="171">
        <v>0</v>
      </c>
      <c r="N227" s="171">
        <v>0</v>
      </c>
    </row>
    <row r="228" spans="1:14">
      <c r="A228" s="171" t="s">
        <v>1044</v>
      </c>
      <c r="B228" s="171" t="s">
        <v>866</v>
      </c>
      <c r="C228" s="171">
        <v>75.75</v>
      </c>
      <c r="D228" s="171" t="s">
        <v>869</v>
      </c>
      <c r="E228" s="171" t="s">
        <v>1043</v>
      </c>
      <c r="F228" s="173">
        <v>45427</v>
      </c>
      <c r="G228" s="173">
        <v>45860</v>
      </c>
      <c r="H228" s="173">
        <v>46227</v>
      </c>
      <c r="J228" s="171">
        <v>525</v>
      </c>
      <c r="K228" s="171">
        <v>619.54999999999995</v>
      </c>
      <c r="L228" s="171">
        <v>550</v>
      </c>
      <c r="M228" s="171">
        <v>-621.55999999999995</v>
      </c>
      <c r="N228" s="171">
        <v>250</v>
      </c>
    </row>
    <row r="229" spans="1:14">
      <c r="A229" s="171" t="s">
        <v>1042</v>
      </c>
      <c r="B229" s="171" t="s">
        <v>866</v>
      </c>
      <c r="C229" s="171">
        <v>75.75</v>
      </c>
      <c r="D229" s="171" t="s">
        <v>865</v>
      </c>
      <c r="E229" s="171" t="s">
        <v>864</v>
      </c>
      <c r="J229" s="172">
        <v>1200</v>
      </c>
      <c r="K229" s="171">
        <v>0</v>
      </c>
      <c r="L229" s="171">
        <v>0</v>
      </c>
      <c r="N229" s="171">
        <v>0</v>
      </c>
    </row>
    <row r="230" spans="1:14">
      <c r="A230" s="171" t="s">
        <v>1041</v>
      </c>
      <c r="B230" s="171" t="s">
        <v>866</v>
      </c>
      <c r="C230" s="171">
        <v>75.75</v>
      </c>
      <c r="D230" s="171" t="s">
        <v>869</v>
      </c>
      <c r="E230" s="171" t="s">
        <v>1040</v>
      </c>
      <c r="F230" s="173">
        <v>45413</v>
      </c>
      <c r="G230" s="173">
        <v>45860</v>
      </c>
      <c r="H230" s="173">
        <v>46227</v>
      </c>
      <c r="J230" s="171">
        <v>525</v>
      </c>
      <c r="K230" s="171">
        <v>610.85</v>
      </c>
      <c r="L230" s="171">
        <v>525</v>
      </c>
      <c r="M230" s="171">
        <v>0</v>
      </c>
      <c r="N230" s="171">
        <v>250</v>
      </c>
    </row>
    <row r="231" spans="1:14">
      <c r="A231" s="171" t="s">
        <v>1039</v>
      </c>
      <c r="B231" s="171" t="s">
        <v>866</v>
      </c>
      <c r="C231" s="171">
        <v>75.75</v>
      </c>
      <c r="D231" s="171" t="s">
        <v>865</v>
      </c>
      <c r="E231" s="171" t="s">
        <v>864</v>
      </c>
      <c r="J231" s="172">
        <v>1200</v>
      </c>
      <c r="K231" s="171">
        <v>0</v>
      </c>
      <c r="L231" s="171">
        <v>0</v>
      </c>
      <c r="N231" s="171">
        <v>0</v>
      </c>
    </row>
    <row r="232" spans="1:14">
      <c r="A232" s="171" t="s">
        <v>1038</v>
      </c>
      <c r="B232" s="171" t="s">
        <v>866</v>
      </c>
      <c r="C232" s="171">
        <v>75.75</v>
      </c>
      <c r="D232" s="171" t="s">
        <v>869</v>
      </c>
      <c r="E232" s="171" t="s">
        <v>1037</v>
      </c>
      <c r="F232" s="173">
        <v>45413</v>
      </c>
      <c r="G232" s="173">
        <v>45860</v>
      </c>
      <c r="H232" s="173">
        <v>46227</v>
      </c>
      <c r="J232" s="171">
        <v>525</v>
      </c>
      <c r="K232" s="171">
        <v>610.85</v>
      </c>
      <c r="L232" s="171">
        <v>525</v>
      </c>
      <c r="M232" s="171">
        <v>0</v>
      </c>
      <c r="N232" s="171">
        <v>250</v>
      </c>
    </row>
    <row r="233" spans="1:14">
      <c r="A233" s="171" t="s">
        <v>1036</v>
      </c>
      <c r="B233" s="171" t="s">
        <v>866</v>
      </c>
      <c r="C233" s="171">
        <v>75.75</v>
      </c>
      <c r="D233" s="171" t="s">
        <v>865</v>
      </c>
      <c r="E233" s="171" t="s">
        <v>864</v>
      </c>
      <c r="J233" s="172">
        <v>1950</v>
      </c>
      <c r="K233" s="171">
        <v>0</v>
      </c>
      <c r="L233" s="171">
        <v>0</v>
      </c>
      <c r="N233" s="171">
        <v>0</v>
      </c>
    </row>
    <row r="234" spans="1:14">
      <c r="A234" s="171" t="s">
        <v>1035</v>
      </c>
      <c r="B234" s="171" t="s">
        <v>866</v>
      </c>
      <c r="C234" s="171">
        <v>75.75</v>
      </c>
      <c r="D234" s="171" t="s">
        <v>869</v>
      </c>
      <c r="E234" s="171" t="s">
        <v>1033</v>
      </c>
      <c r="F234" s="173">
        <v>46052</v>
      </c>
      <c r="G234" s="173">
        <v>46052</v>
      </c>
      <c r="H234" s="173">
        <v>46234</v>
      </c>
      <c r="J234" s="171">
        <v>600</v>
      </c>
      <c r="K234" s="171">
        <v>623.52</v>
      </c>
      <c r="L234" s="171">
        <v>556.5</v>
      </c>
      <c r="M234" s="171">
        <v>0</v>
      </c>
      <c r="N234" s="171">
        <v>125</v>
      </c>
    </row>
    <row r="235" spans="1:14">
      <c r="A235" s="171" t="s">
        <v>1034</v>
      </c>
      <c r="B235" s="171" t="s">
        <v>866</v>
      </c>
      <c r="C235" s="171">
        <v>75.75</v>
      </c>
      <c r="D235" s="171" t="s">
        <v>869</v>
      </c>
      <c r="E235" s="171" t="s">
        <v>1033</v>
      </c>
      <c r="F235" s="173">
        <v>46052</v>
      </c>
      <c r="G235" s="173">
        <v>46052</v>
      </c>
      <c r="H235" s="173">
        <v>46234</v>
      </c>
      <c r="J235" s="171">
        <v>600</v>
      </c>
      <c r="K235" s="171">
        <v>623.52</v>
      </c>
      <c r="L235" s="171">
        <v>556.5</v>
      </c>
      <c r="M235" s="171">
        <v>0</v>
      </c>
      <c r="N235" s="171">
        <v>125</v>
      </c>
    </row>
    <row r="236" spans="1:14">
      <c r="A236" s="171" t="s">
        <v>1032</v>
      </c>
      <c r="B236" s="171" t="s">
        <v>866</v>
      </c>
      <c r="C236" s="171">
        <v>75.75</v>
      </c>
      <c r="D236" s="171" t="s">
        <v>869</v>
      </c>
      <c r="E236" s="171" t="s">
        <v>1031</v>
      </c>
      <c r="F236" s="173">
        <v>46191</v>
      </c>
      <c r="G236" s="173">
        <v>46191</v>
      </c>
      <c r="H236" s="173">
        <v>46387</v>
      </c>
      <c r="J236" s="171">
        <v>600</v>
      </c>
      <c r="K236" s="171">
        <v>705.63</v>
      </c>
      <c r="L236" s="171">
        <v>625</v>
      </c>
      <c r="M236" s="171">
        <v>0</v>
      </c>
      <c r="N236" s="171">
        <v>0</v>
      </c>
    </row>
    <row r="237" spans="1:14">
      <c r="A237" s="171" t="s">
        <v>1030</v>
      </c>
      <c r="B237" s="171" t="s">
        <v>866</v>
      </c>
      <c r="C237" s="171">
        <v>75.75</v>
      </c>
      <c r="D237" s="171" t="s">
        <v>865</v>
      </c>
      <c r="E237" s="171" t="s">
        <v>864</v>
      </c>
      <c r="J237" s="172">
        <v>1950</v>
      </c>
      <c r="K237" s="171">
        <v>0</v>
      </c>
      <c r="L237" s="171">
        <v>0</v>
      </c>
      <c r="N237" s="171">
        <v>0</v>
      </c>
    </row>
    <row r="238" spans="1:14">
      <c r="A238" s="171" t="s">
        <v>1029</v>
      </c>
      <c r="B238" s="171" t="s">
        <v>866</v>
      </c>
      <c r="C238" s="171">
        <v>75.75</v>
      </c>
      <c r="D238" s="171" t="s">
        <v>865</v>
      </c>
      <c r="E238" s="171" t="s">
        <v>864</v>
      </c>
      <c r="J238" s="171">
        <v>600</v>
      </c>
      <c r="K238" s="171">
        <v>0</v>
      </c>
      <c r="L238" s="171">
        <v>0</v>
      </c>
      <c r="N238" s="171">
        <v>0</v>
      </c>
    </row>
    <row r="239" spans="1:14">
      <c r="A239" s="171" t="s">
        <v>1028</v>
      </c>
      <c r="B239" s="171" t="s">
        <v>866</v>
      </c>
      <c r="C239" s="171">
        <v>75.75</v>
      </c>
      <c r="D239" s="171" t="s">
        <v>869</v>
      </c>
      <c r="E239" s="171" t="s">
        <v>1026</v>
      </c>
      <c r="F239" s="173">
        <v>45992</v>
      </c>
      <c r="G239" s="173">
        <v>45992</v>
      </c>
      <c r="H239" s="173">
        <v>46227</v>
      </c>
      <c r="J239" s="172">
        <v>1050</v>
      </c>
      <c r="K239" s="171">
        <v>590.53</v>
      </c>
      <c r="L239" s="171">
        <v>525</v>
      </c>
      <c r="M239" s="171">
        <v>0</v>
      </c>
      <c r="N239" s="171">
        <v>125</v>
      </c>
    </row>
    <row r="240" spans="1:14">
      <c r="A240" s="171" t="s">
        <v>1027</v>
      </c>
      <c r="B240" s="171" t="s">
        <v>866</v>
      </c>
      <c r="C240" s="171">
        <v>75.75</v>
      </c>
      <c r="D240" s="171" t="s">
        <v>869</v>
      </c>
      <c r="E240" s="171" t="s">
        <v>1026</v>
      </c>
      <c r="F240" s="173">
        <v>45992</v>
      </c>
      <c r="G240" s="173">
        <v>45992</v>
      </c>
      <c r="H240" s="173">
        <v>46227</v>
      </c>
      <c r="J240" s="171">
        <v>525</v>
      </c>
      <c r="K240" s="171">
        <v>590.53</v>
      </c>
      <c r="L240" s="171">
        <v>525</v>
      </c>
      <c r="M240" s="171">
        <v>0</v>
      </c>
      <c r="N240" s="171">
        <v>125</v>
      </c>
    </row>
    <row r="241" spans="1:14">
      <c r="A241" s="171" t="s">
        <v>1025</v>
      </c>
      <c r="B241" s="171" t="s">
        <v>866</v>
      </c>
      <c r="C241" s="171">
        <v>75.75</v>
      </c>
      <c r="D241" s="171" t="s">
        <v>865</v>
      </c>
      <c r="E241" s="171" t="s">
        <v>864</v>
      </c>
      <c r="J241" s="172">
        <v>1950</v>
      </c>
      <c r="K241" s="171">
        <v>0</v>
      </c>
      <c r="L241" s="171">
        <v>0</v>
      </c>
      <c r="N241" s="171">
        <v>0</v>
      </c>
    </row>
    <row r="242" spans="1:14">
      <c r="A242" s="171" t="s">
        <v>1024</v>
      </c>
      <c r="B242" s="171" t="s">
        <v>866</v>
      </c>
      <c r="C242" s="171">
        <v>75.75</v>
      </c>
      <c r="D242" s="171" t="s">
        <v>869</v>
      </c>
      <c r="E242" s="171" t="s">
        <v>1023</v>
      </c>
      <c r="F242" s="173">
        <v>46151</v>
      </c>
      <c r="G242" s="173">
        <v>46151</v>
      </c>
      <c r="H242" s="173">
        <v>46752</v>
      </c>
      <c r="J242" s="172">
        <v>1950</v>
      </c>
      <c r="K242" s="171">
        <v>600</v>
      </c>
      <c r="L242" s="171">
        <v>600</v>
      </c>
      <c r="M242" s="171">
        <v>0</v>
      </c>
      <c r="N242" s="171">
        <v>250</v>
      </c>
    </row>
    <row r="243" spans="1:14">
      <c r="A243" s="171" t="s">
        <v>1022</v>
      </c>
      <c r="B243" s="171" t="s">
        <v>866</v>
      </c>
      <c r="C243" s="171">
        <v>75.75</v>
      </c>
      <c r="D243" s="171" t="s">
        <v>869</v>
      </c>
      <c r="E243" s="171" t="s">
        <v>1021</v>
      </c>
      <c r="F243" s="173">
        <v>46157</v>
      </c>
      <c r="G243" s="173">
        <v>46157</v>
      </c>
      <c r="H243" s="173">
        <v>46387</v>
      </c>
      <c r="J243" s="171">
        <v>600</v>
      </c>
      <c r="K243" s="171">
        <v>600</v>
      </c>
      <c r="L243" s="171">
        <v>600</v>
      </c>
      <c r="M243" s="171">
        <v>0</v>
      </c>
      <c r="N243" s="171">
        <v>250</v>
      </c>
    </row>
    <row r="244" spans="1:14">
      <c r="A244" s="171" t="s">
        <v>1020</v>
      </c>
      <c r="B244" s="171" t="s">
        <v>866</v>
      </c>
      <c r="C244" s="171">
        <v>75.75</v>
      </c>
      <c r="D244" s="171" t="s">
        <v>869</v>
      </c>
      <c r="E244" s="171" t="s">
        <v>1019</v>
      </c>
      <c r="F244" s="173">
        <v>46156</v>
      </c>
      <c r="G244" s="173">
        <v>46157</v>
      </c>
      <c r="H244" s="173">
        <v>46387</v>
      </c>
      <c r="J244" s="171">
        <v>600</v>
      </c>
      <c r="K244" s="171">
        <v>600</v>
      </c>
      <c r="L244" s="171">
        <v>600</v>
      </c>
      <c r="M244" s="171">
        <v>0</v>
      </c>
      <c r="N244" s="171">
        <v>250</v>
      </c>
    </row>
    <row r="245" spans="1:14">
      <c r="A245" s="171" t="s">
        <v>1018</v>
      </c>
      <c r="B245" s="171" t="s">
        <v>866</v>
      </c>
      <c r="C245" s="171">
        <v>75.75</v>
      </c>
      <c r="D245" s="171" t="s">
        <v>869</v>
      </c>
      <c r="E245" s="171" t="s">
        <v>1017</v>
      </c>
      <c r="F245" s="173">
        <v>46156</v>
      </c>
      <c r="G245" s="173">
        <v>46156</v>
      </c>
      <c r="H245" s="173">
        <v>46387</v>
      </c>
      <c r="J245" s="171">
        <v>600</v>
      </c>
      <c r="K245" s="171">
        <v>600</v>
      </c>
      <c r="L245" s="171">
        <v>600</v>
      </c>
      <c r="M245" s="171">
        <v>0</v>
      </c>
      <c r="N245" s="171">
        <v>250</v>
      </c>
    </row>
    <row r="246" spans="1:14">
      <c r="A246" s="171" t="s">
        <v>1016</v>
      </c>
      <c r="B246" s="171" t="s">
        <v>866</v>
      </c>
      <c r="C246" s="171">
        <v>75.75</v>
      </c>
      <c r="D246" s="171" t="s">
        <v>869</v>
      </c>
      <c r="E246" s="171" t="s">
        <v>1012</v>
      </c>
      <c r="F246" s="173">
        <v>45962</v>
      </c>
      <c r="G246" s="173">
        <v>45962</v>
      </c>
      <c r="H246" s="173">
        <v>46227</v>
      </c>
      <c r="J246" s="172">
        <v>1050</v>
      </c>
      <c r="K246" s="171">
        <v>591.02</v>
      </c>
      <c r="L246" s="171">
        <v>525</v>
      </c>
      <c r="M246" s="171">
        <v>0</v>
      </c>
      <c r="N246" s="171">
        <v>125</v>
      </c>
    </row>
    <row r="247" spans="1:14">
      <c r="A247" s="171" t="s">
        <v>1015</v>
      </c>
      <c r="B247" s="171" t="s">
        <v>866</v>
      </c>
      <c r="C247" s="171">
        <v>75.75</v>
      </c>
      <c r="D247" s="171" t="s">
        <v>865</v>
      </c>
      <c r="E247" s="171" t="s">
        <v>864</v>
      </c>
      <c r="J247" s="171">
        <v>600</v>
      </c>
      <c r="K247" s="171">
        <v>0</v>
      </c>
      <c r="L247" s="171">
        <v>0</v>
      </c>
      <c r="N247" s="171">
        <v>0</v>
      </c>
    </row>
    <row r="248" spans="1:14">
      <c r="A248" s="171" t="s">
        <v>1014</v>
      </c>
      <c r="B248" s="171" t="s">
        <v>866</v>
      </c>
      <c r="C248" s="171">
        <v>75.75</v>
      </c>
      <c r="D248" s="171" t="s">
        <v>865</v>
      </c>
      <c r="E248" s="171" t="s">
        <v>864</v>
      </c>
      <c r="J248" s="172">
        <v>1950</v>
      </c>
      <c r="K248" s="171">
        <v>0</v>
      </c>
      <c r="L248" s="171">
        <v>0</v>
      </c>
      <c r="N248" s="171">
        <v>0</v>
      </c>
    </row>
    <row r="249" spans="1:14">
      <c r="A249" s="171" t="s">
        <v>1013</v>
      </c>
      <c r="B249" s="171" t="s">
        <v>866</v>
      </c>
      <c r="C249" s="171">
        <v>75.75</v>
      </c>
      <c r="D249" s="171" t="s">
        <v>869</v>
      </c>
      <c r="E249" s="171" t="s">
        <v>1012</v>
      </c>
      <c r="F249" s="173">
        <v>45962</v>
      </c>
      <c r="G249" s="173">
        <v>45962</v>
      </c>
      <c r="H249" s="173">
        <v>46227</v>
      </c>
      <c r="J249" s="172">
        <v>1050</v>
      </c>
      <c r="K249" s="171">
        <v>591.02</v>
      </c>
      <c r="L249" s="171">
        <v>525</v>
      </c>
      <c r="M249" s="171">
        <v>0</v>
      </c>
      <c r="N249" s="171">
        <v>125</v>
      </c>
    </row>
    <row r="250" spans="1:14">
      <c r="A250" s="171" t="s">
        <v>1011</v>
      </c>
      <c r="B250" s="171" t="s">
        <v>866</v>
      </c>
      <c r="C250" s="171">
        <v>75.75</v>
      </c>
      <c r="D250" s="171" t="s">
        <v>869</v>
      </c>
      <c r="E250" s="171" t="s">
        <v>1010</v>
      </c>
      <c r="F250" s="173">
        <v>46128</v>
      </c>
      <c r="G250" s="173">
        <v>46128</v>
      </c>
      <c r="H250" s="173">
        <v>46599</v>
      </c>
      <c r="J250" s="171">
        <v>600</v>
      </c>
      <c r="K250" s="171">
        <v>551.48</v>
      </c>
      <c r="L250" s="171">
        <v>525</v>
      </c>
      <c r="M250" s="171">
        <v>0</v>
      </c>
      <c r="N250" s="171">
        <v>250</v>
      </c>
    </row>
    <row r="251" spans="1:14">
      <c r="A251" s="171" t="s">
        <v>1009</v>
      </c>
      <c r="B251" s="171" t="s">
        <v>866</v>
      </c>
      <c r="C251" s="171">
        <v>75.75</v>
      </c>
      <c r="D251" s="171" t="s">
        <v>869</v>
      </c>
      <c r="E251" s="171" t="s">
        <v>1008</v>
      </c>
      <c r="F251" s="173">
        <v>46150</v>
      </c>
      <c r="G251" s="173">
        <v>46150</v>
      </c>
      <c r="H251" s="173">
        <v>46592</v>
      </c>
      <c r="J251" s="172">
        <v>1950</v>
      </c>
      <c r="K251" s="171">
        <v>525</v>
      </c>
      <c r="L251" s="171">
        <v>525</v>
      </c>
      <c r="M251" s="171">
        <v>0</v>
      </c>
      <c r="N251" s="171">
        <v>250</v>
      </c>
    </row>
    <row r="252" spans="1:14">
      <c r="A252" s="171" t="s">
        <v>1007</v>
      </c>
      <c r="B252" s="171" t="s">
        <v>866</v>
      </c>
      <c r="C252" s="171">
        <v>75.75</v>
      </c>
      <c r="D252" s="171" t="s">
        <v>869</v>
      </c>
      <c r="E252" s="171" t="s">
        <v>1006</v>
      </c>
      <c r="F252" s="173">
        <v>46146</v>
      </c>
      <c r="G252" s="173">
        <v>46146</v>
      </c>
      <c r="H252" s="173">
        <v>46599</v>
      </c>
      <c r="J252" s="171">
        <v>600</v>
      </c>
      <c r="K252" s="171">
        <v>525</v>
      </c>
      <c r="L252" s="171">
        <v>525</v>
      </c>
      <c r="M252" s="171">
        <v>0</v>
      </c>
      <c r="N252" s="171">
        <v>250</v>
      </c>
    </row>
    <row r="253" spans="1:14">
      <c r="A253" s="171" t="s">
        <v>1005</v>
      </c>
      <c r="B253" s="171" t="s">
        <v>866</v>
      </c>
      <c r="C253" s="171">
        <v>75.75</v>
      </c>
      <c r="D253" s="171" t="s">
        <v>951</v>
      </c>
      <c r="E253" s="171" t="s">
        <v>864</v>
      </c>
      <c r="J253" s="171">
        <v>600</v>
      </c>
      <c r="K253" s="171">
        <v>0</v>
      </c>
      <c r="L253" s="171">
        <v>0</v>
      </c>
      <c r="N253" s="171">
        <v>0</v>
      </c>
    </row>
    <row r="254" spans="1:14">
      <c r="A254" s="171" t="s">
        <v>1004</v>
      </c>
      <c r="B254" s="171" t="s">
        <v>866</v>
      </c>
      <c r="C254" s="171">
        <v>75.75</v>
      </c>
      <c r="D254" s="171" t="s">
        <v>869</v>
      </c>
      <c r="E254" s="171" t="s">
        <v>1003</v>
      </c>
      <c r="F254" s="173">
        <v>46125</v>
      </c>
      <c r="G254" s="173">
        <v>46125</v>
      </c>
      <c r="H254" s="173">
        <v>46234</v>
      </c>
      <c r="J254" s="171">
        <v>600</v>
      </c>
      <c r="K254" s="171">
        <v>327.2</v>
      </c>
      <c r="L254" s="171">
        <v>525</v>
      </c>
      <c r="M254" s="171">
        <v>-250</v>
      </c>
      <c r="N254" s="171">
        <v>250</v>
      </c>
    </row>
    <row r="255" spans="1:14">
      <c r="A255" s="171" t="s">
        <v>1002</v>
      </c>
      <c r="B255" s="171" t="s">
        <v>866</v>
      </c>
      <c r="C255" s="171">
        <v>75.75</v>
      </c>
      <c r="D255" s="171" t="s">
        <v>869</v>
      </c>
      <c r="E255" s="171" t="s">
        <v>1001</v>
      </c>
      <c r="F255" s="173">
        <v>46178</v>
      </c>
      <c r="G255" s="173">
        <v>46178</v>
      </c>
      <c r="H255" s="173">
        <v>46387</v>
      </c>
      <c r="J255" s="172">
        <v>1200</v>
      </c>
      <c r="K255" s="171">
        <v>627.94000000000005</v>
      </c>
      <c r="L255" s="171">
        <v>625</v>
      </c>
      <c r="M255" s="171">
        <v>11.27</v>
      </c>
      <c r="N255" s="171">
        <v>250</v>
      </c>
    </row>
    <row r="256" spans="1:14">
      <c r="A256" s="171" t="s">
        <v>1000</v>
      </c>
      <c r="B256" s="171" t="s">
        <v>866</v>
      </c>
      <c r="C256" s="171">
        <v>75.75</v>
      </c>
      <c r="D256" s="171" t="s">
        <v>865</v>
      </c>
      <c r="E256" s="171" t="s">
        <v>864</v>
      </c>
      <c r="J256" s="171">
        <v>600</v>
      </c>
      <c r="K256" s="171">
        <v>0</v>
      </c>
      <c r="L256" s="171">
        <v>0</v>
      </c>
      <c r="N256" s="171">
        <v>0</v>
      </c>
    </row>
    <row r="257" spans="1:14">
      <c r="A257" s="171" t="s">
        <v>999</v>
      </c>
      <c r="B257" s="171" t="s">
        <v>866</v>
      </c>
      <c r="C257" s="171">
        <v>75.75</v>
      </c>
      <c r="D257" s="171" t="s">
        <v>869</v>
      </c>
      <c r="E257" s="171" t="s">
        <v>998</v>
      </c>
      <c r="F257" s="173">
        <v>46140</v>
      </c>
      <c r="G257" s="173">
        <v>46140</v>
      </c>
      <c r="H257" s="173">
        <v>46599</v>
      </c>
      <c r="J257" s="172">
        <v>1950</v>
      </c>
      <c r="K257" s="171">
        <v>525</v>
      </c>
      <c r="L257" s="171">
        <v>525</v>
      </c>
      <c r="M257" s="171">
        <v>0</v>
      </c>
      <c r="N257" s="171">
        <v>0</v>
      </c>
    </row>
    <row r="258" spans="1:14">
      <c r="A258" s="171" t="s">
        <v>997</v>
      </c>
      <c r="B258" s="171" t="s">
        <v>866</v>
      </c>
      <c r="C258" s="171">
        <v>75.75</v>
      </c>
      <c r="D258" s="171" t="s">
        <v>869</v>
      </c>
      <c r="E258" s="171" t="s">
        <v>996</v>
      </c>
      <c r="F258" s="173">
        <v>45149</v>
      </c>
      <c r="G258" s="173">
        <v>45860</v>
      </c>
      <c r="H258" s="173">
        <v>46227</v>
      </c>
      <c r="J258" s="171">
        <v>525</v>
      </c>
      <c r="K258" s="171">
        <v>592.57000000000005</v>
      </c>
      <c r="L258" s="171">
        <v>525</v>
      </c>
      <c r="M258" s="171">
        <v>0</v>
      </c>
      <c r="N258" s="171">
        <v>250</v>
      </c>
    </row>
    <row r="259" spans="1:14">
      <c r="A259" s="171" t="s">
        <v>995</v>
      </c>
      <c r="B259" s="171" t="s">
        <v>866</v>
      </c>
      <c r="C259" s="171">
        <v>75.75</v>
      </c>
      <c r="D259" s="171" t="s">
        <v>865</v>
      </c>
      <c r="E259" s="171" t="s">
        <v>864</v>
      </c>
      <c r="J259" s="172">
        <v>1950</v>
      </c>
      <c r="K259" s="171">
        <v>0</v>
      </c>
      <c r="L259" s="171">
        <v>0</v>
      </c>
      <c r="N259" s="171">
        <v>0</v>
      </c>
    </row>
    <row r="260" spans="1:14">
      <c r="A260" s="171" t="s">
        <v>994</v>
      </c>
      <c r="B260" s="171" t="s">
        <v>866</v>
      </c>
      <c r="C260" s="171">
        <v>75.75</v>
      </c>
      <c r="D260" s="171" t="s">
        <v>869</v>
      </c>
      <c r="E260" s="171" t="s">
        <v>993</v>
      </c>
      <c r="F260" s="173">
        <v>45778</v>
      </c>
      <c r="G260" s="173">
        <v>45778</v>
      </c>
      <c r="H260" s="173">
        <v>46227</v>
      </c>
      <c r="J260" s="171">
        <v>525</v>
      </c>
      <c r="K260" s="171">
        <v>579.57000000000005</v>
      </c>
      <c r="L260" s="171">
        <v>525</v>
      </c>
      <c r="M260" s="171">
        <v>-312.43</v>
      </c>
      <c r="N260" s="171">
        <v>250</v>
      </c>
    </row>
    <row r="261" spans="1:14">
      <c r="A261" s="171" t="s">
        <v>992</v>
      </c>
      <c r="B261" s="171" t="s">
        <v>866</v>
      </c>
      <c r="C261" s="171">
        <v>75.75</v>
      </c>
      <c r="D261" s="171" t="s">
        <v>865</v>
      </c>
      <c r="E261" s="171" t="s">
        <v>864</v>
      </c>
      <c r="J261" s="172">
        <v>1950</v>
      </c>
      <c r="K261" s="171">
        <v>0</v>
      </c>
      <c r="L261" s="171">
        <v>0</v>
      </c>
      <c r="N261" s="171">
        <v>0</v>
      </c>
    </row>
    <row r="262" spans="1:14">
      <c r="A262" s="171" t="s">
        <v>991</v>
      </c>
      <c r="B262" s="171" t="s">
        <v>866</v>
      </c>
      <c r="C262" s="171">
        <v>75.75</v>
      </c>
      <c r="D262" s="171" t="s">
        <v>990</v>
      </c>
      <c r="E262" s="171" t="s">
        <v>989</v>
      </c>
      <c r="F262" s="173">
        <v>45870</v>
      </c>
      <c r="G262" s="173">
        <v>45870</v>
      </c>
      <c r="H262" s="173">
        <v>46227</v>
      </c>
      <c r="I262" s="173">
        <v>46227</v>
      </c>
      <c r="J262" s="171">
        <v>525</v>
      </c>
      <c r="K262" s="171">
        <v>537.65</v>
      </c>
      <c r="L262" s="171">
        <v>475</v>
      </c>
      <c r="M262" s="171">
        <v>9.7799999999999994</v>
      </c>
      <c r="N262" s="171">
        <v>250</v>
      </c>
    </row>
    <row r="263" spans="1:14">
      <c r="A263" s="171" t="s">
        <v>988</v>
      </c>
      <c r="B263" s="171" t="s">
        <v>866</v>
      </c>
      <c r="C263" s="171">
        <v>75.75</v>
      </c>
      <c r="D263" s="171" t="s">
        <v>951</v>
      </c>
      <c r="E263" s="171" t="s">
        <v>864</v>
      </c>
      <c r="J263" s="172">
        <v>1950</v>
      </c>
      <c r="K263" s="171">
        <v>0</v>
      </c>
      <c r="L263" s="171">
        <v>0</v>
      </c>
    </row>
    <row r="264" spans="1:14">
      <c r="A264" s="171" t="s">
        <v>987</v>
      </c>
      <c r="B264" s="171" t="s">
        <v>866</v>
      </c>
      <c r="C264" s="171">
        <v>75.75</v>
      </c>
      <c r="D264" s="171" t="s">
        <v>885</v>
      </c>
      <c r="E264" s="171" t="s">
        <v>864</v>
      </c>
      <c r="J264" s="172">
        <v>1950</v>
      </c>
      <c r="K264" s="171">
        <v>0</v>
      </c>
      <c r="L264" s="171">
        <v>0</v>
      </c>
    </row>
    <row r="265" spans="1:14">
      <c r="A265" s="171" t="s">
        <v>986</v>
      </c>
      <c r="B265" s="171" t="s">
        <v>866</v>
      </c>
      <c r="C265" s="171">
        <v>75.75</v>
      </c>
      <c r="D265" s="171" t="s">
        <v>951</v>
      </c>
      <c r="E265" s="171" t="s">
        <v>864</v>
      </c>
      <c r="J265" s="171">
        <v>600</v>
      </c>
      <c r="K265" s="171">
        <v>0</v>
      </c>
      <c r="L265" s="171">
        <v>0</v>
      </c>
    </row>
    <row r="266" spans="1:14">
      <c r="A266" s="171" t="s">
        <v>985</v>
      </c>
      <c r="B266" s="171" t="s">
        <v>866</v>
      </c>
      <c r="C266" s="171">
        <v>75.75</v>
      </c>
      <c r="D266" s="171" t="s">
        <v>869</v>
      </c>
      <c r="E266" s="171" t="s">
        <v>984</v>
      </c>
      <c r="F266" s="173">
        <v>46046</v>
      </c>
      <c r="G266" s="173">
        <v>46046</v>
      </c>
      <c r="H266" s="173">
        <v>46234</v>
      </c>
      <c r="J266" s="172">
        <v>1950</v>
      </c>
      <c r="K266" s="171">
        <v>496.3</v>
      </c>
      <c r="L266" s="171">
        <v>475</v>
      </c>
      <c r="M266" s="171">
        <v>0</v>
      </c>
      <c r="N266" s="171">
        <v>250</v>
      </c>
    </row>
    <row r="267" spans="1:14">
      <c r="A267" s="171" t="s">
        <v>983</v>
      </c>
      <c r="B267" s="171" t="s">
        <v>866</v>
      </c>
      <c r="C267" s="171">
        <v>75.75</v>
      </c>
      <c r="D267" s="171" t="s">
        <v>865</v>
      </c>
      <c r="E267" s="171" t="s">
        <v>864</v>
      </c>
      <c r="J267" s="172">
        <v>1950</v>
      </c>
      <c r="K267" s="171">
        <v>0</v>
      </c>
      <c r="L267" s="171">
        <v>0</v>
      </c>
      <c r="N267" s="171">
        <v>0</v>
      </c>
    </row>
    <row r="268" spans="1:14">
      <c r="A268" s="171" t="s">
        <v>982</v>
      </c>
      <c r="B268" s="171" t="s">
        <v>866</v>
      </c>
      <c r="C268" s="171">
        <v>75.75</v>
      </c>
      <c r="D268" s="171" t="s">
        <v>869</v>
      </c>
      <c r="E268" s="171" t="s">
        <v>981</v>
      </c>
      <c r="F268" s="173">
        <v>46083</v>
      </c>
      <c r="G268" s="173">
        <v>46083</v>
      </c>
      <c r="H268" s="173">
        <v>46227</v>
      </c>
      <c r="J268" s="171">
        <v>600</v>
      </c>
      <c r="K268" s="171">
        <v>568.29999999999995</v>
      </c>
      <c r="L268" s="171">
        <v>560</v>
      </c>
      <c r="M268" s="171">
        <v>48.3</v>
      </c>
      <c r="N268" s="171">
        <v>250</v>
      </c>
    </row>
    <row r="269" spans="1:14">
      <c r="A269" s="171" t="s">
        <v>980</v>
      </c>
      <c r="B269" s="171" t="s">
        <v>866</v>
      </c>
      <c r="C269" s="171">
        <v>75.75</v>
      </c>
      <c r="D269" s="171" t="s">
        <v>865</v>
      </c>
      <c r="E269" s="171" t="s">
        <v>864</v>
      </c>
      <c r="J269" s="171">
        <v>600</v>
      </c>
      <c r="K269" s="171">
        <v>0</v>
      </c>
      <c r="L269" s="171">
        <v>0</v>
      </c>
      <c r="N269" s="171">
        <v>0</v>
      </c>
    </row>
    <row r="270" spans="1:14">
      <c r="A270" s="171" t="s">
        <v>979</v>
      </c>
      <c r="B270" s="171" t="s">
        <v>886</v>
      </c>
      <c r="C270" s="171">
        <v>180</v>
      </c>
      <c r="D270" s="171" t="s">
        <v>918</v>
      </c>
      <c r="E270" s="171" t="s">
        <v>977</v>
      </c>
      <c r="F270" s="173">
        <v>45507</v>
      </c>
      <c r="G270" s="173">
        <v>45860</v>
      </c>
      <c r="H270" s="173">
        <v>46227</v>
      </c>
      <c r="I270" s="173">
        <v>46227</v>
      </c>
      <c r="J270" s="171">
        <v>650</v>
      </c>
      <c r="K270" s="171">
        <v>744.4</v>
      </c>
      <c r="L270" s="171">
        <v>650</v>
      </c>
      <c r="M270" s="171">
        <v>0</v>
      </c>
      <c r="N270" s="171">
        <v>0</v>
      </c>
    </row>
    <row r="271" spans="1:14">
      <c r="A271" s="171" t="s">
        <v>978</v>
      </c>
      <c r="B271" s="171" t="s">
        <v>886</v>
      </c>
      <c r="C271" s="171">
        <v>180</v>
      </c>
      <c r="D271" s="171" t="s">
        <v>918</v>
      </c>
      <c r="E271" s="171" t="s">
        <v>977</v>
      </c>
      <c r="F271" s="173">
        <v>45507</v>
      </c>
      <c r="G271" s="173">
        <v>45860</v>
      </c>
      <c r="H271" s="173">
        <v>46227</v>
      </c>
      <c r="I271" s="173">
        <v>46227</v>
      </c>
      <c r="J271" s="171">
        <v>650</v>
      </c>
      <c r="K271" s="171">
        <v>744.39</v>
      </c>
      <c r="L271" s="171">
        <v>650</v>
      </c>
      <c r="M271" s="171">
        <v>0</v>
      </c>
      <c r="N271" s="171">
        <v>0</v>
      </c>
    </row>
    <row r="272" spans="1:14">
      <c r="A272" s="171" t="s">
        <v>976</v>
      </c>
      <c r="B272" s="171" t="s">
        <v>886</v>
      </c>
      <c r="C272" s="171">
        <v>180</v>
      </c>
      <c r="D272" s="171" t="s">
        <v>869</v>
      </c>
      <c r="E272" s="171" t="s">
        <v>975</v>
      </c>
      <c r="F272" s="173">
        <v>45884</v>
      </c>
      <c r="G272" s="173">
        <v>45884</v>
      </c>
      <c r="H272" s="173">
        <v>46227</v>
      </c>
      <c r="J272" s="171">
        <v>650</v>
      </c>
      <c r="K272" s="171">
        <v>698.43</v>
      </c>
      <c r="L272" s="171">
        <v>650</v>
      </c>
      <c r="M272" s="171">
        <v>0</v>
      </c>
      <c r="N272" s="171">
        <v>250</v>
      </c>
    </row>
    <row r="273" spans="1:14">
      <c r="A273" s="171" t="s">
        <v>974</v>
      </c>
      <c r="B273" s="171" t="s">
        <v>886</v>
      </c>
      <c r="C273" s="171">
        <v>180</v>
      </c>
      <c r="D273" s="171" t="s">
        <v>885</v>
      </c>
      <c r="E273" s="171" t="s">
        <v>864</v>
      </c>
      <c r="J273" s="171">
        <v>650</v>
      </c>
      <c r="K273" s="171">
        <v>0</v>
      </c>
      <c r="L273" s="171">
        <v>0</v>
      </c>
    </row>
    <row r="274" spans="1:14">
      <c r="A274" s="171" t="s">
        <v>973</v>
      </c>
      <c r="B274" s="171" t="s">
        <v>886</v>
      </c>
      <c r="C274" s="171">
        <v>180</v>
      </c>
      <c r="D274" s="171" t="s">
        <v>869</v>
      </c>
      <c r="E274" s="171" t="s">
        <v>972</v>
      </c>
      <c r="F274" s="173">
        <v>46108</v>
      </c>
      <c r="G274" s="173">
        <v>46108</v>
      </c>
      <c r="H274" s="173">
        <v>46227</v>
      </c>
      <c r="J274" s="172">
        <v>1300</v>
      </c>
      <c r="K274" s="171">
        <v>866.72</v>
      </c>
      <c r="L274" s="171">
        <v>695</v>
      </c>
      <c r="M274" s="171">
        <v>0</v>
      </c>
      <c r="N274" s="171">
        <v>250</v>
      </c>
    </row>
    <row r="275" spans="1:14">
      <c r="A275" s="171" t="s">
        <v>971</v>
      </c>
      <c r="B275" s="171" t="s">
        <v>886</v>
      </c>
      <c r="C275" s="171">
        <v>180</v>
      </c>
      <c r="D275" s="171" t="s">
        <v>869</v>
      </c>
      <c r="E275" s="171" t="s">
        <v>970</v>
      </c>
      <c r="F275" s="173">
        <v>46174</v>
      </c>
      <c r="G275" s="173">
        <v>46174</v>
      </c>
      <c r="H275" s="173">
        <v>46592</v>
      </c>
      <c r="J275" s="171">
        <v>725</v>
      </c>
      <c r="K275" s="171">
        <v>793</v>
      </c>
      <c r="L275" s="171">
        <v>693</v>
      </c>
      <c r="M275" s="171">
        <v>0</v>
      </c>
      <c r="N275" s="171">
        <v>250</v>
      </c>
    </row>
    <row r="276" spans="1:14">
      <c r="A276" s="171" t="s">
        <v>969</v>
      </c>
      <c r="B276" s="171" t="s">
        <v>886</v>
      </c>
      <c r="C276" s="171">
        <v>180</v>
      </c>
      <c r="D276" s="171" t="s">
        <v>918</v>
      </c>
      <c r="E276" s="171" t="s">
        <v>968</v>
      </c>
      <c r="F276" s="173">
        <v>45884</v>
      </c>
      <c r="G276" s="173">
        <v>45890</v>
      </c>
      <c r="H276" s="173">
        <v>46227</v>
      </c>
      <c r="I276" s="173">
        <v>46191</v>
      </c>
      <c r="J276" s="171">
        <v>650</v>
      </c>
      <c r="K276" s="171">
        <v>831.7</v>
      </c>
      <c r="L276" s="171">
        <v>650</v>
      </c>
      <c r="M276" s="171">
        <v>117.49</v>
      </c>
      <c r="N276" s="171">
        <v>250</v>
      </c>
    </row>
    <row r="277" spans="1:14">
      <c r="A277" s="171" t="s">
        <v>967</v>
      </c>
      <c r="B277" s="171" t="s">
        <v>886</v>
      </c>
      <c r="C277" s="171">
        <v>180</v>
      </c>
      <c r="D277" s="171" t="s">
        <v>869</v>
      </c>
      <c r="E277" s="171" t="s">
        <v>966</v>
      </c>
      <c r="F277" s="173">
        <v>45884</v>
      </c>
      <c r="G277" s="173">
        <v>45890</v>
      </c>
      <c r="H277" s="173">
        <v>46227</v>
      </c>
      <c r="J277" s="171">
        <v>650</v>
      </c>
      <c r="K277" s="171">
        <v>727.21</v>
      </c>
      <c r="L277" s="171">
        <v>650</v>
      </c>
      <c r="M277" s="171">
        <v>0</v>
      </c>
      <c r="N277" s="171">
        <v>250</v>
      </c>
    </row>
    <row r="278" spans="1:14">
      <c r="A278" s="171" t="s">
        <v>965</v>
      </c>
      <c r="B278" s="171" t="s">
        <v>866</v>
      </c>
      <c r="C278" s="171">
        <v>75.75</v>
      </c>
      <c r="D278" s="171" t="s">
        <v>869</v>
      </c>
      <c r="E278" s="171" t="s">
        <v>964</v>
      </c>
      <c r="F278" s="173">
        <v>45884</v>
      </c>
      <c r="G278" s="173">
        <v>45890</v>
      </c>
      <c r="H278" s="173">
        <v>46227</v>
      </c>
      <c r="J278" s="171">
        <v>525</v>
      </c>
      <c r="K278" s="171">
        <v>526.54999999999995</v>
      </c>
      <c r="L278" s="171">
        <v>500</v>
      </c>
      <c r="M278" s="171">
        <v>0</v>
      </c>
      <c r="N278" s="171">
        <v>250</v>
      </c>
    </row>
    <row r="279" spans="1:14">
      <c r="A279" s="171" t="s">
        <v>963</v>
      </c>
      <c r="B279" s="171" t="s">
        <v>866</v>
      </c>
      <c r="C279" s="171">
        <v>75.75</v>
      </c>
      <c r="D279" s="171" t="s">
        <v>869</v>
      </c>
      <c r="E279" s="171" t="s">
        <v>962</v>
      </c>
      <c r="F279" s="173">
        <v>45884</v>
      </c>
      <c r="G279" s="173">
        <v>45890</v>
      </c>
      <c r="H279" s="173">
        <v>46227</v>
      </c>
      <c r="J279" s="171">
        <v>525</v>
      </c>
      <c r="K279" s="171">
        <v>526.54999999999995</v>
      </c>
      <c r="L279" s="171">
        <v>500</v>
      </c>
      <c r="M279" s="171">
        <v>0</v>
      </c>
      <c r="N279" s="171">
        <v>250</v>
      </c>
    </row>
    <row r="280" spans="1:14">
      <c r="A280" s="171" t="s">
        <v>961</v>
      </c>
      <c r="B280" s="171" t="s">
        <v>866</v>
      </c>
      <c r="C280" s="171">
        <v>75.75</v>
      </c>
      <c r="D280" s="171" t="s">
        <v>869</v>
      </c>
      <c r="E280" s="171" t="s">
        <v>960</v>
      </c>
      <c r="F280" s="173">
        <v>45884</v>
      </c>
      <c r="G280" s="173">
        <v>45890</v>
      </c>
      <c r="H280" s="173">
        <v>46227</v>
      </c>
      <c r="J280" s="171">
        <v>525</v>
      </c>
      <c r="K280" s="171">
        <v>526.54999999999995</v>
      </c>
      <c r="L280" s="171">
        <v>500</v>
      </c>
      <c r="M280" s="171">
        <v>0</v>
      </c>
      <c r="N280" s="171">
        <v>250</v>
      </c>
    </row>
    <row r="281" spans="1:14">
      <c r="A281" s="171" t="s">
        <v>959</v>
      </c>
      <c r="B281" s="171" t="s">
        <v>866</v>
      </c>
      <c r="C281" s="171">
        <v>75.75</v>
      </c>
      <c r="D281" s="171" t="s">
        <v>869</v>
      </c>
      <c r="E281" s="171" t="s">
        <v>958</v>
      </c>
      <c r="F281" s="173">
        <v>45892</v>
      </c>
      <c r="G281" s="173">
        <v>45890</v>
      </c>
      <c r="H281" s="173">
        <v>46227</v>
      </c>
      <c r="J281" s="171">
        <v>525</v>
      </c>
      <c r="K281" s="171">
        <v>526.54999999999995</v>
      </c>
      <c r="L281" s="171">
        <v>500</v>
      </c>
      <c r="M281" s="171">
        <v>0</v>
      </c>
      <c r="N281" s="171">
        <v>250</v>
      </c>
    </row>
    <row r="282" spans="1:14">
      <c r="A282" s="171" t="s">
        <v>957</v>
      </c>
      <c r="B282" s="171" t="s">
        <v>866</v>
      </c>
      <c r="C282" s="171">
        <v>75.75</v>
      </c>
      <c r="D282" s="171" t="s">
        <v>951</v>
      </c>
      <c r="E282" s="171" t="s">
        <v>864</v>
      </c>
      <c r="J282" s="172">
        <v>1200</v>
      </c>
      <c r="K282" s="171">
        <v>0</v>
      </c>
      <c r="L282" s="171">
        <v>0</v>
      </c>
      <c r="N282" s="171">
        <v>0</v>
      </c>
    </row>
    <row r="283" spans="1:14">
      <c r="A283" s="171" t="s">
        <v>956</v>
      </c>
      <c r="B283" s="171" t="s">
        <v>866</v>
      </c>
      <c r="C283" s="171">
        <v>75.75</v>
      </c>
      <c r="D283" s="171" t="s">
        <v>865</v>
      </c>
      <c r="E283" s="171" t="s">
        <v>864</v>
      </c>
      <c r="J283" s="171">
        <v>600</v>
      </c>
      <c r="K283" s="171">
        <v>0</v>
      </c>
      <c r="L283" s="171">
        <v>0</v>
      </c>
      <c r="N283" s="171">
        <v>0</v>
      </c>
    </row>
    <row r="284" spans="1:14">
      <c r="A284" s="171" t="s">
        <v>955</v>
      </c>
      <c r="B284" s="171" t="s">
        <v>866</v>
      </c>
      <c r="C284" s="171">
        <v>75.75</v>
      </c>
      <c r="D284" s="171" t="s">
        <v>951</v>
      </c>
      <c r="E284" s="171" t="s">
        <v>864</v>
      </c>
      <c r="J284" s="172">
        <v>1200</v>
      </c>
      <c r="K284" s="171">
        <v>0</v>
      </c>
      <c r="L284" s="171">
        <v>0</v>
      </c>
      <c r="N284" s="171">
        <v>0</v>
      </c>
    </row>
    <row r="285" spans="1:14">
      <c r="A285" s="171" t="s">
        <v>954</v>
      </c>
      <c r="B285" s="171" t="s">
        <v>866</v>
      </c>
      <c r="C285" s="171">
        <v>75.75</v>
      </c>
      <c r="D285" s="171" t="s">
        <v>918</v>
      </c>
      <c r="E285" s="171" t="s">
        <v>953</v>
      </c>
      <c r="F285" s="173">
        <v>45492</v>
      </c>
      <c r="G285" s="173">
        <v>45860</v>
      </c>
      <c r="H285" s="173">
        <v>46227</v>
      </c>
      <c r="I285" s="173">
        <v>46227</v>
      </c>
      <c r="J285" s="172">
        <v>1050</v>
      </c>
      <c r="K285" s="171">
        <v>565.29999999999995</v>
      </c>
      <c r="L285" s="171">
        <v>500</v>
      </c>
      <c r="M285" s="171">
        <v>-229.81</v>
      </c>
      <c r="N285" s="171">
        <v>250</v>
      </c>
    </row>
    <row r="286" spans="1:14">
      <c r="A286" s="171" t="s">
        <v>952</v>
      </c>
      <c r="B286" s="171" t="s">
        <v>866</v>
      </c>
      <c r="C286" s="171">
        <v>75.75</v>
      </c>
      <c r="D286" s="171" t="s">
        <v>951</v>
      </c>
      <c r="E286" s="171" t="s">
        <v>864</v>
      </c>
      <c r="J286" s="172">
        <v>1200</v>
      </c>
      <c r="K286" s="171">
        <v>0</v>
      </c>
      <c r="L286" s="171">
        <v>0</v>
      </c>
      <c r="N286" s="171">
        <v>0</v>
      </c>
    </row>
    <row r="287" spans="1:14">
      <c r="A287" s="171" t="s">
        <v>950</v>
      </c>
      <c r="B287" s="171" t="s">
        <v>866</v>
      </c>
      <c r="C287" s="171">
        <v>75.75</v>
      </c>
      <c r="D287" s="171" t="s">
        <v>865</v>
      </c>
      <c r="E287" s="171" t="s">
        <v>864</v>
      </c>
      <c r="J287" s="172">
        <v>1200</v>
      </c>
      <c r="K287" s="171">
        <v>0</v>
      </c>
      <c r="L287" s="171">
        <v>0</v>
      </c>
      <c r="N287" s="171">
        <v>0</v>
      </c>
    </row>
    <row r="288" spans="1:14">
      <c r="A288" s="171" t="s">
        <v>949</v>
      </c>
      <c r="B288" s="171" t="s">
        <v>866</v>
      </c>
      <c r="C288" s="171">
        <v>75.75</v>
      </c>
      <c r="D288" s="171" t="s">
        <v>869</v>
      </c>
      <c r="E288" s="171" t="s">
        <v>948</v>
      </c>
      <c r="F288" s="173">
        <v>46177</v>
      </c>
      <c r="G288" s="173">
        <v>46177</v>
      </c>
      <c r="H288" s="173">
        <v>46387</v>
      </c>
      <c r="J288" s="172">
        <v>1950</v>
      </c>
      <c r="K288" s="171">
        <v>649.20000000000005</v>
      </c>
      <c r="L288" s="171">
        <v>625</v>
      </c>
      <c r="M288" s="171">
        <v>0</v>
      </c>
      <c r="N288" s="171">
        <v>0</v>
      </c>
    </row>
    <row r="289" spans="1:14">
      <c r="A289" s="171" t="s">
        <v>947</v>
      </c>
      <c r="B289" s="171" t="s">
        <v>866</v>
      </c>
      <c r="C289" s="171">
        <v>75.75</v>
      </c>
      <c r="D289" s="171" t="s">
        <v>869</v>
      </c>
      <c r="E289" s="171" t="s">
        <v>946</v>
      </c>
      <c r="F289" s="173">
        <v>46177</v>
      </c>
      <c r="G289" s="173">
        <v>46177</v>
      </c>
      <c r="H289" s="173">
        <v>46387</v>
      </c>
      <c r="J289" s="171">
        <v>600</v>
      </c>
      <c r="K289" s="171">
        <v>399.2</v>
      </c>
      <c r="L289" s="171">
        <v>625</v>
      </c>
      <c r="M289" s="171">
        <v>0</v>
      </c>
      <c r="N289" s="171">
        <v>0</v>
      </c>
    </row>
    <row r="290" spans="1:14">
      <c r="A290" s="171" t="s">
        <v>945</v>
      </c>
      <c r="B290" s="171" t="s">
        <v>866</v>
      </c>
      <c r="C290" s="171">
        <v>75.75</v>
      </c>
      <c r="D290" s="171" t="s">
        <v>869</v>
      </c>
      <c r="E290" s="171" t="s">
        <v>944</v>
      </c>
      <c r="F290" s="173">
        <v>45791</v>
      </c>
      <c r="G290" s="173">
        <v>45791</v>
      </c>
      <c r="H290" s="173">
        <v>46227</v>
      </c>
      <c r="J290" s="171">
        <v>525</v>
      </c>
      <c r="K290" s="171">
        <v>559.39</v>
      </c>
      <c r="L290" s="171">
        <v>500</v>
      </c>
      <c r="M290" s="171">
        <v>0</v>
      </c>
      <c r="N290" s="171">
        <v>250</v>
      </c>
    </row>
    <row r="291" spans="1:14">
      <c r="A291" s="171" t="s">
        <v>943</v>
      </c>
      <c r="B291" s="171" t="s">
        <v>866</v>
      </c>
      <c r="C291" s="171">
        <v>75.75</v>
      </c>
      <c r="D291" s="171" t="s">
        <v>869</v>
      </c>
      <c r="E291" s="171" t="s">
        <v>942</v>
      </c>
      <c r="F291" s="173">
        <v>46157</v>
      </c>
      <c r="G291" s="173">
        <v>46157</v>
      </c>
      <c r="H291" s="173">
        <v>46599</v>
      </c>
      <c r="J291" s="172">
        <v>1200</v>
      </c>
      <c r="K291" s="171">
        <v>560</v>
      </c>
      <c r="L291" s="171">
        <v>560</v>
      </c>
      <c r="M291" s="171">
        <v>0</v>
      </c>
      <c r="N291" s="171">
        <v>250</v>
      </c>
    </row>
    <row r="292" spans="1:14">
      <c r="A292" s="171" t="s">
        <v>941</v>
      </c>
      <c r="B292" s="171" t="s">
        <v>866</v>
      </c>
      <c r="C292" s="171">
        <v>75.75</v>
      </c>
      <c r="D292" s="171" t="s">
        <v>869</v>
      </c>
      <c r="E292" s="171" t="s">
        <v>940</v>
      </c>
      <c r="F292" s="173">
        <v>46157</v>
      </c>
      <c r="G292" s="173">
        <v>46157</v>
      </c>
      <c r="H292" s="173">
        <v>46592</v>
      </c>
      <c r="J292" s="172">
        <v>1950</v>
      </c>
      <c r="K292" s="171">
        <v>525</v>
      </c>
      <c r="L292" s="171">
        <v>525</v>
      </c>
      <c r="M292" s="171">
        <v>0</v>
      </c>
      <c r="N292" s="171">
        <v>250</v>
      </c>
    </row>
    <row r="293" spans="1:14">
      <c r="A293" s="171" t="s">
        <v>939</v>
      </c>
      <c r="B293" s="171" t="s">
        <v>866</v>
      </c>
      <c r="C293" s="171">
        <v>75.75</v>
      </c>
      <c r="D293" s="171" t="s">
        <v>918</v>
      </c>
      <c r="E293" s="171" t="s">
        <v>938</v>
      </c>
      <c r="F293" s="173">
        <v>45870</v>
      </c>
      <c r="G293" s="173">
        <v>45870</v>
      </c>
      <c r="H293" s="173">
        <v>46227</v>
      </c>
      <c r="I293" s="173">
        <v>46174</v>
      </c>
      <c r="J293" s="171">
        <v>525</v>
      </c>
      <c r="K293" s="171">
        <v>599.61</v>
      </c>
      <c r="L293" s="171">
        <v>500</v>
      </c>
      <c r="M293" s="171">
        <v>53.22</v>
      </c>
      <c r="N293" s="171">
        <v>250</v>
      </c>
    </row>
    <row r="294" spans="1:14">
      <c r="A294" s="171" t="s">
        <v>937</v>
      </c>
      <c r="B294" s="171" t="s">
        <v>886</v>
      </c>
      <c r="C294" s="171">
        <v>180</v>
      </c>
      <c r="D294" s="171" t="s">
        <v>869</v>
      </c>
      <c r="E294" s="171" t="s">
        <v>936</v>
      </c>
      <c r="F294" s="173">
        <v>46041</v>
      </c>
      <c r="G294" s="173">
        <v>46041</v>
      </c>
      <c r="H294" s="173">
        <v>46234</v>
      </c>
      <c r="J294" s="171">
        <v>725</v>
      </c>
      <c r="K294" s="171">
        <v>647.19000000000005</v>
      </c>
      <c r="L294" s="171">
        <v>600</v>
      </c>
      <c r="M294" s="171">
        <v>0</v>
      </c>
      <c r="N294" s="171">
        <v>250</v>
      </c>
    </row>
    <row r="295" spans="1:14">
      <c r="A295" s="171" t="s">
        <v>935</v>
      </c>
      <c r="B295" s="171" t="s">
        <v>886</v>
      </c>
      <c r="C295" s="171">
        <v>180</v>
      </c>
      <c r="D295" s="171" t="s">
        <v>865</v>
      </c>
      <c r="E295" s="171" t="s">
        <v>864</v>
      </c>
      <c r="J295" s="172">
        <v>1450</v>
      </c>
      <c r="K295" s="171">
        <v>0</v>
      </c>
      <c r="L295" s="171">
        <v>0</v>
      </c>
      <c r="N295" s="171">
        <v>0</v>
      </c>
    </row>
    <row r="296" spans="1:14">
      <c r="A296" s="171" t="s">
        <v>934</v>
      </c>
      <c r="B296" s="171" t="s">
        <v>886</v>
      </c>
      <c r="C296" s="171">
        <v>180</v>
      </c>
      <c r="D296" s="171" t="s">
        <v>869</v>
      </c>
      <c r="E296" s="171" t="s">
        <v>932</v>
      </c>
      <c r="F296" s="173">
        <v>44564</v>
      </c>
      <c r="G296" s="173">
        <v>45860</v>
      </c>
      <c r="H296" s="173">
        <v>46227</v>
      </c>
      <c r="J296" s="171">
        <v>650</v>
      </c>
      <c r="K296" s="171">
        <v>696.05</v>
      </c>
      <c r="L296" s="171">
        <v>650</v>
      </c>
      <c r="M296" s="171">
        <v>0</v>
      </c>
      <c r="N296" s="171">
        <v>0</v>
      </c>
    </row>
    <row r="297" spans="1:14">
      <c r="A297" s="171" t="s">
        <v>933</v>
      </c>
      <c r="B297" s="171" t="s">
        <v>886</v>
      </c>
      <c r="C297" s="171">
        <v>180</v>
      </c>
      <c r="D297" s="171" t="s">
        <v>869</v>
      </c>
      <c r="E297" s="171" t="s">
        <v>932</v>
      </c>
      <c r="F297" s="173">
        <v>44564</v>
      </c>
      <c r="G297" s="173">
        <v>45860</v>
      </c>
      <c r="H297" s="173">
        <v>46227</v>
      </c>
      <c r="J297" s="171">
        <v>650</v>
      </c>
      <c r="K297" s="171">
        <v>696.05</v>
      </c>
      <c r="L297" s="171">
        <v>650</v>
      </c>
      <c r="M297" s="171">
        <v>0</v>
      </c>
      <c r="N297" s="171">
        <v>0</v>
      </c>
    </row>
    <row r="298" spans="1:14">
      <c r="A298" s="171" t="s">
        <v>931</v>
      </c>
      <c r="B298" s="171" t="s">
        <v>886</v>
      </c>
      <c r="C298" s="171">
        <v>180</v>
      </c>
      <c r="D298" s="171" t="s">
        <v>918</v>
      </c>
      <c r="E298" s="171" t="s">
        <v>930</v>
      </c>
      <c r="F298" s="173">
        <v>45839</v>
      </c>
      <c r="G298" s="173">
        <v>45839</v>
      </c>
      <c r="H298" s="173">
        <v>46227</v>
      </c>
      <c r="I298" s="173">
        <v>46227</v>
      </c>
      <c r="J298" s="171">
        <v>650</v>
      </c>
      <c r="K298" s="171">
        <v>700.42</v>
      </c>
      <c r="L298" s="171">
        <v>650</v>
      </c>
      <c r="M298" s="171">
        <v>0</v>
      </c>
      <c r="N298" s="171">
        <v>250</v>
      </c>
    </row>
    <row r="299" spans="1:14">
      <c r="A299" s="171" t="s">
        <v>929</v>
      </c>
      <c r="B299" s="171" t="s">
        <v>886</v>
      </c>
      <c r="C299" s="171">
        <v>180</v>
      </c>
      <c r="D299" s="171" t="s">
        <v>918</v>
      </c>
      <c r="E299" s="171" t="s">
        <v>928</v>
      </c>
      <c r="F299" s="173">
        <v>45839</v>
      </c>
      <c r="G299" s="173">
        <v>45839</v>
      </c>
      <c r="H299" s="173">
        <v>46227</v>
      </c>
      <c r="I299" s="173">
        <v>46227</v>
      </c>
      <c r="J299" s="171">
        <v>650</v>
      </c>
      <c r="K299" s="171">
        <v>700.42</v>
      </c>
      <c r="L299" s="171">
        <v>650</v>
      </c>
      <c r="M299" s="171">
        <v>0</v>
      </c>
      <c r="N299" s="171">
        <v>250</v>
      </c>
    </row>
    <row r="300" spans="1:14">
      <c r="A300" s="171" t="s">
        <v>927</v>
      </c>
      <c r="B300" s="171" t="s">
        <v>886</v>
      </c>
      <c r="C300" s="171">
        <v>180</v>
      </c>
      <c r="D300" s="171" t="s">
        <v>869</v>
      </c>
      <c r="E300" s="171" t="s">
        <v>926</v>
      </c>
      <c r="F300" s="173">
        <v>45979</v>
      </c>
      <c r="G300" s="173">
        <v>45979</v>
      </c>
      <c r="H300" s="173">
        <v>46227</v>
      </c>
      <c r="J300" s="171">
        <v>650</v>
      </c>
      <c r="K300" s="171">
        <v>683.62</v>
      </c>
      <c r="L300" s="171">
        <v>650</v>
      </c>
      <c r="M300" s="171">
        <v>0</v>
      </c>
      <c r="N300" s="171">
        <v>250</v>
      </c>
    </row>
    <row r="301" spans="1:14">
      <c r="A301" s="171" t="s">
        <v>925</v>
      </c>
      <c r="B301" s="171" t="s">
        <v>886</v>
      </c>
      <c r="C301" s="171">
        <v>180</v>
      </c>
      <c r="D301" s="171" t="s">
        <v>865</v>
      </c>
      <c r="E301" s="171" t="s">
        <v>864</v>
      </c>
      <c r="J301" s="171">
        <v>725</v>
      </c>
      <c r="K301" s="171">
        <v>0</v>
      </c>
      <c r="L301" s="171">
        <v>0</v>
      </c>
      <c r="N301" s="171">
        <v>0</v>
      </c>
    </row>
    <row r="302" spans="1:14">
      <c r="A302" s="171" t="s">
        <v>924</v>
      </c>
      <c r="B302" s="171" t="s">
        <v>881</v>
      </c>
      <c r="C302" s="171">
        <v>300</v>
      </c>
      <c r="D302" s="171" t="s">
        <v>918</v>
      </c>
      <c r="E302" s="171" t="s">
        <v>923</v>
      </c>
      <c r="F302" s="173">
        <v>45786</v>
      </c>
      <c r="G302" s="173">
        <v>45786</v>
      </c>
      <c r="H302" s="173">
        <v>46227</v>
      </c>
      <c r="I302" s="173">
        <v>46227</v>
      </c>
      <c r="J302" s="171">
        <v>600</v>
      </c>
      <c r="K302" s="171">
        <v>649.99</v>
      </c>
      <c r="L302" s="171">
        <v>599</v>
      </c>
      <c r="M302" s="171">
        <v>13</v>
      </c>
      <c r="N302" s="171">
        <v>250</v>
      </c>
    </row>
    <row r="303" spans="1:14">
      <c r="A303" s="171" t="s">
        <v>922</v>
      </c>
      <c r="B303" s="171" t="s">
        <v>881</v>
      </c>
      <c r="C303" s="171">
        <v>300</v>
      </c>
      <c r="D303" s="171" t="s">
        <v>871</v>
      </c>
      <c r="E303" s="171" t="s">
        <v>864</v>
      </c>
      <c r="J303" s="172">
        <v>1348</v>
      </c>
      <c r="K303" s="171">
        <v>0</v>
      </c>
      <c r="L303" s="171">
        <v>0</v>
      </c>
      <c r="N303" s="171">
        <v>0</v>
      </c>
    </row>
    <row r="304" spans="1:14">
      <c r="A304" s="171" t="s">
        <v>921</v>
      </c>
      <c r="B304" s="171" t="s">
        <v>876</v>
      </c>
      <c r="C304" s="171">
        <v>262.5</v>
      </c>
      <c r="D304" s="171" t="s">
        <v>885</v>
      </c>
      <c r="E304" s="171" t="s">
        <v>864</v>
      </c>
      <c r="J304" s="171">
        <v>549</v>
      </c>
      <c r="K304" s="171">
        <v>0</v>
      </c>
      <c r="L304" s="171">
        <v>0</v>
      </c>
    </row>
    <row r="305" spans="1:14">
      <c r="A305" s="171" t="s">
        <v>920</v>
      </c>
      <c r="B305" s="171" t="s">
        <v>876</v>
      </c>
      <c r="C305" s="171">
        <v>262.5</v>
      </c>
      <c r="D305" s="171" t="s">
        <v>885</v>
      </c>
      <c r="E305" s="171" t="s">
        <v>864</v>
      </c>
      <c r="J305" s="171">
        <v>549</v>
      </c>
      <c r="K305" s="171">
        <v>0</v>
      </c>
      <c r="L305" s="171">
        <v>0</v>
      </c>
    </row>
    <row r="306" spans="1:14">
      <c r="A306" s="171" t="s">
        <v>919</v>
      </c>
      <c r="B306" s="171" t="s">
        <v>866</v>
      </c>
      <c r="C306" s="171">
        <v>75.75</v>
      </c>
      <c r="D306" s="171" t="s">
        <v>918</v>
      </c>
      <c r="E306" s="171" t="s">
        <v>917</v>
      </c>
      <c r="F306" s="173">
        <v>45902</v>
      </c>
      <c r="G306" s="173">
        <v>45902</v>
      </c>
      <c r="H306" s="173">
        <v>46227</v>
      </c>
      <c r="I306" s="173">
        <v>46227</v>
      </c>
      <c r="J306" s="172">
        <v>1900</v>
      </c>
      <c r="K306" s="171">
        <v>572.92999999999995</v>
      </c>
      <c r="L306" s="171">
        <v>500</v>
      </c>
      <c r="M306" s="171">
        <v>0</v>
      </c>
      <c r="N306" s="171">
        <v>250</v>
      </c>
    </row>
    <row r="307" spans="1:14">
      <c r="A307" s="171" t="s">
        <v>916</v>
      </c>
      <c r="B307" s="171" t="s">
        <v>866</v>
      </c>
      <c r="C307" s="171">
        <v>75.75</v>
      </c>
      <c r="D307" s="171" t="s">
        <v>865</v>
      </c>
      <c r="E307" s="171" t="s">
        <v>864</v>
      </c>
      <c r="J307" s="172">
        <v>1950</v>
      </c>
      <c r="K307" s="171">
        <v>0</v>
      </c>
      <c r="L307" s="171">
        <v>0</v>
      </c>
      <c r="N307" s="171">
        <v>0</v>
      </c>
    </row>
    <row r="308" spans="1:14">
      <c r="A308" s="171" t="s">
        <v>915</v>
      </c>
      <c r="B308" s="171" t="s">
        <v>866</v>
      </c>
      <c r="C308" s="171">
        <v>75.75</v>
      </c>
      <c r="D308" s="171" t="s">
        <v>869</v>
      </c>
      <c r="E308" s="171" t="s">
        <v>914</v>
      </c>
      <c r="F308" s="173">
        <v>45902</v>
      </c>
      <c r="G308" s="173">
        <v>45902</v>
      </c>
      <c r="H308" s="173">
        <v>46227</v>
      </c>
      <c r="J308" s="172">
        <v>2100</v>
      </c>
      <c r="K308" s="171">
        <v>585.92999999999995</v>
      </c>
      <c r="L308" s="171">
        <v>500</v>
      </c>
      <c r="M308" s="171">
        <v>13</v>
      </c>
      <c r="N308" s="171">
        <v>250</v>
      </c>
    </row>
    <row r="309" spans="1:14">
      <c r="A309" s="171" t="s">
        <v>913</v>
      </c>
      <c r="B309" s="171" t="s">
        <v>866</v>
      </c>
      <c r="C309" s="171">
        <v>75.75</v>
      </c>
      <c r="D309" s="171" t="s">
        <v>869</v>
      </c>
      <c r="E309" s="171" t="s">
        <v>912</v>
      </c>
      <c r="F309" s="173">
        <v>46156</v>
      </c>
      <c r="G309" s="173">
        <v>46156</v>
      </c>
      <c r="H309" s="173">
        <v>46592</v>
      </c>
      <c r="J309" s="171">
        <v>600</v>
      </c>
      <c r="K309" s="171">
        <v>577.45000000000005</v>
      </c>
      <c r="L309" s="171">
        <v>525</v>
      </c>
      <c r="M309" s="171">
        <v>0</v>
      </c>
      <c r="N309" s="171">
        <v>250</v>
      </c>
    </row>
    <row r="310" spans="1:14">
      <c r="A310" s="171" t="s">
        <v>911</v>
      </c>
      <c r="B310" s="171" t="s">
        <v>866</v>
      </c>
      <c r="C310" s="171">
        <v>75.75</v>
      </c>
      <c r="D310" s="171" t="s">
        <v>865</v>
      </c>
      <c r="E310" s="171" t="s">
        <v>864</v>
      </c>
      <c r="J310" s="172">
        <v>1950</v>
      </c>
      <c r="K310" s="171">
        <v>0</v>
      </c>
      <c r="L310" s="171">
        <v>0</v>
      </c>
      <c r="N310" s="171">
        <v>0</v>
      </c>
    </row>
    <row r="311" spans="1:14">
      <c r="A311" s="171" t="s">
        <v>910</v>
      </c>
      <c r="B311" s="171" t="s">
        <v>866</v>
      </c>
      <c r="C311" s="171">
        <v>75.75</v>
      </c>
      <c r="D311" s="171" t="s">
        <v>869</v>
      </c>
      <c r="E311" s="171" t="s">
        <v>909</v>
      </c>
      <c r="F311" s="173">
        <v>45931</v>
      </c>
      <c r="G311" s="173">
        <v>45931</v>
      </c>
      <c r="H311" s="173">
        <v>46227</v>
      </c>
      <c r="J311" s="171">
        <v>525</v>
      </c>
      <c r="K311" s="171">
        <v>671.26</v>
      </c>
      <c r="L311" s="171">
        <v>525</v>
      </c>
      <c r="M311" s="171">
        <v>715.95</v>
      </c>
      <c r="N311" s="171">
        <v>250</v>
      </c>
    </row>
    <row r="312" spans="1:14">
      <c r="A312" s="171" t="s">
        <v>908</v>
      </c>
      <c r="B312" s="171" t="s">
        <v>866</v>
      </c>
      <c r="C312" s="171">
        <v>75.75</v>
      </c>
      <c r="D312" s="171" t="s">
        <v>865</v>
      </c>
      <c r="E312" s="171" t="s">
        <v>864</v>
      </c>
      <c r="J312" s="171">
        <v>600</v>
      </c>
      <c r="K312" s="171">
        <v>0</v>
      </c>
      <c r="L312" s="171">
        <v>0</v>
      </c>
      <c r="N312" s="171">
        <v>0</v>
      </c>
    </row>
    <row r="313" spans="1:14">
      <c r="A313" s="171" t="s">
        <v>907</v>
      </c>
      <c r="B313" s="171" t="s">
        <v>866</v>
      </c>
      <c r="C313" s="171">
        <v>75.75</v>
      </c>
      <c r="D313" s="171" t="s">
        <v>869</v>
      </c>
      <c r="E313" s="171" t="s">
        <v>906</v>
      </c>
      <c r="F313" s="173">
        <v>46181</v>
      </c>
      <c r="G313" s="173">
        <v>46181</v>
      </c>
      <c r="H313" s="173">
        <v>46592</v>
      </c>
      <c r="J313" s="172">
        <v>1200</v>
      </c>
      <c r="K313" s="171">
        <v>477.5</v>
      </c>
      <c r="L313" s="171">
        <v>525</v>
      </c>
      <c r="M313" s="171">
        <v>0</v>
      </c>
      <c r="N313" s="171">
        <v>250</v>
      </c>
    </row>
    <row r="314" spans="1:14">
      <c r="A314" s="171" t="s">
        <v>905</v>
      </c>
      <c r="B314" s="171" t="s">
        <v>866</v>
      </c>
      <c r="C314" s="171">
        <v>75.75</v>
      </c>
      <c r="D314" s="171" t="s">
        <v>869</v>
      </c>
      <c r="E314" s="171" t="s">
        <v>904</v>
      </c>
      <c r="F314" s="173">
        <v>45887</v>
      </c>
      <c r="G314" s="173">
        <v>45887</v>
      </c>
      <c r="H314" s="173">
        <v>46227</v>
      </c>
      <c r="J314" s="171">
        <v>525</v>
      </c>
      <c r="K314" s="171">
        <v>543.01</v>
      </c>
      <c r="L314" s="171">
        <v>500</v>
      </c>
      <c r="M314" s="171">
        <v>0</v>
      </c>
      <c r="N314" s="171">
        <v>250</v>
      </c>
    </row>
    <row r="315" spans="1:14">
      <c r="A315" s="171" t="s">
        <v>903</v>
      </c>
      <c r="B315" s="171" t="s">
        <v>866</v>
      </c>
      <c r="C315" s="171">
        <v>75.75</v>
      </c>
      <c r="D315" s="171" t="s">
        <v>865</v>
      </c>
      <c r="E315" s="171" t="s">
        <v>864</v>
      </c>
      <c r="J315" s="171">
        <v>600</v>
      </c>
      <c r="K315" s="171">
        <v>0</v>
      </c>
      <c r="L315" s="171">
        <v>0</v>
      </c>
      <c r="N315" s="171">
        <v>0</v>
      </c>
    </row>
    <row r="316" spans="1:14">
      <c r="A316" s="171" t="s">
        <v>902</v>
      </c>
      <c r="B316" s="171" t="s">
        <v>866</v>
      </c>
      <c r="C316" s="171">
        <v>75.75</v>
      </c>
      <c r="D316" s="171" t="s">
        <v>865</v>
      </c>
      <c r="E316" s="171" t="s">
        <v>864</v>
      </c>
      <c r="J316" s="171">
        <v>600</v>
      </c>
      <c r="K316" s="171">
        <v>0</v>
      </c>
      <c r="L316" s="171">
        <v>0</v>
      </c>
      <c r="N316" s="171">
        <v>0</v>
      </c>
    </row>
    <row r="317" spans="1:14">
      <c r="A317" s="171" t="s">
        <v>901</v>
      </c>
      <c r="B317" s="171" t="s">
        <v>866</v>
      </c>
      <c r="C317" s="171">
        <v>75.75</v>
      </c>
      <c r="D317" s="171" t="s">
        <v>869</v>
      </c>
      <c r="E317" s="171" t="s">
        <v>900</v>
      </c>
      <c r="F317" s="173">
        <v>45786</v>
      </c>
      <c r="G317" s="173">
        <v>45786</v>
      </c>
      <c r="H317" s="173">
        <v>46227</v>
      </c>
      <c r="J317" s="171">
        <v>525</v>
      </c>
      <c r="K317" s="171">
        <v>556.01</v>
      </c>
      <c r="L317" s="171">
        <v>500</v>
      </c>
      <c r="M317" s="171">
        <v>0</v>
      </c>
      <c r="N317" s="171">
        <v>250</v>
      </c>
    </row>
    <row r="318" spans="1:14">
      <c r="A318" s="171" t="s">
        <v>899</v>
      </c>
      <c r="B318" s="171" t="s">
        <v>886</v>
      </c>
      <c r="C318" s="171">
        <v>180</v>
      </c>
      <c r="D318" s="171" t="s">
        <v>869</v>
      </c>
      <c r="E318" s="171" t="s">
        <v>898</v>
      </c>
      <c r="F318" s="173">
        <v>46185</v>
      </c>
      <c r="G318" s="173">
        <v>46185</v>
      </c>
      <c r="H318" s="173">
        <v>46592</v>
      </c>
      <c r="J318" s="171">
        <v>725</v>
      </c>
      <c r="K318" s="171">
        <v>494.9</v>
      </c>
      <c r="L318" s="171">
        <v>650</v>
      </c>
      <c r="M318" s="171">
        <v>8.23</v>
      </c>
      <c r="N318" s="171">
        <v>250</v>
      </c>
    </row>
    <row r="319" spans="1:14">
      <c r="A319" s="171" t="s">
        <v>897</v>
      </c>
      <c r="B319" s="171" t="s">
        <v>886</v>
      </c>
      <c r="C319" s="171">
        <v>180</v>
      </c>
      <c r="D319" s="171" t="s">
        <v>869</v>
      </c>
      <c r="E319" s="171" t="s">
        <v>896</v>
      </c>
      <c r="F319" s="173">
        <v>45911</v>
      </c>
      <c r="G319" s="173">
        <v>46030</v>
      </c>
      <c r="H319" s="173">
        <v>46234</v>
      </c>
      <c r="J319" s="172">
        <v>1300</v>
      </c>
      <c r="K319" s="171">
        <v>772.79</v>
      </c>
      <c r="L319" s="171">
        <v>650</v>
      </c>
      <c r="M319" s="171">
        <v>895.79</v>
      </c>
      <c r="N319" s="171">
        <v>250</v>
      </c>
    </row>
    <row r="320" spans="1:14">
      <c r="A320" s="171" t="s">
        <v>895</v>
      </c>
      <c r="B320" s="171" t="s">
        <v>886</v>
      </c>
      <c r="C320" s="171">
        <v>180</v>
      </c>
      <c r="D320" s="171" t="s">
        <v>869</v>
      </c>
      <c r="E320" s="171" t="s">
        <v>894</v>
      </c>
      <c r="F320" s="173">
        <v>45156</v>
      </c>
      <c r="G320" s="173">
        <v>45809</v>
      </c>
      <c r="H320" s="173">
        <v>46227</v>
      </c>
      <c r="J320" s="171">
        <v>650</v>
      </c>
      <c r="K320" s="171">
        <v>715.88</v>
      </c>
      <c r="L320" s="171">
        <v>650</v>
      </c>
      <c r="M320" s="171">
        <v>0</v>
      </c>
      <c r="N320" s="171">
        <v>250</v>
      </c>
    </row>
    <row r="321" spans="1:14">
      <c r="A321" s="171" t="s">
        <v>893</v>
      </c>
      <c r="B321" s="171" t="s">
        <v>886</v>
      </c>
      <c r="C321" s="171">
        <v>180</v>
      </c>
      <c r="D321" s="171" t="s">
        <v>869</v>
      </c>
      <c r="E321" s="171" t="s">
        <v>892</v>
      </c>
      <c r="F321" s="173">
        <v>45890</v>
      </c>
      <c r="G321" s="173">
        <v>45890</v>
      </c>
      <c r="H321" s="173">
        <v>46227</v>
      </c>
      <c r="J321" s="171">
        <v>650</v>
      </c>
      <c r="K321" s="171">
        <v>715.88</v>
      </c>
      <c r="L321" s="171">
        <v>650</v>
      </c>
      <c r="M321" s="171">
        <v>0</v>
      </c>
      <c r="N321" s="171">
        <v>250</v>
      </c>
    </row>
    <row r="322" spans="1:14">
      <c r="A322" s="171" t="s">
        <v>891</v>
      </c>
      <c r="B322" s="171" t="s">
        <v>886</v>
      </c>
      <c r="C322" s="171">
        <v>180</v>
      </c>
      <c r="D322" s="171" t="s">
        <v>869</v>
      </c>
      <c r="E322" s="171" t="s">
        <v>890</v>
      </c>
      <c r="F322" s="173">
        <v>45890</v>
      </c>
      <c r="G322" s="173">
        <v>46174</v>
      </c>
      <c r="H322" s="173">
        <v>46387</v>
      </c>
      <c r="J322" s="171">
        <v>650</v>
      </c>
      <c r="K322" s="171">
        <v>871.93</v>
      </c>
      <c r="L322" s="171">
        <v>725</v>
      </c>
      <c r="M322" s="171">
        <v>0</v>
      </c>
      <c r="N322" s="171">
        <v>250</v>
      </c>
    </row>
    <row r="323" spans="1:14">
      <c r="A323" s="171" t="s">
        <v>889</v>
      </c>
      <c r="B323" s="171" t="s">
        <v>886</v>
      </c>
      <c r="C323" s="171">
        <v>180</v>
      </c>
      <c r="D323" s="171" t="s">
        <v>871</v>
      </c>
      <c r="E323" s="171" t="s">
        <v>864</v>
      </c>
      <c r="J323" s="172">
        <v>1450</v>
      </c>
      <c r="K323" s="171">
        <v>0</v>
      </c>
      <c r="L323" s="171">
        <v>0</v>
      </c>
      <c r="N323" s="171">
        <v>0</v>
      </c>
    </row>
    <row r="324" spans="1:14">
      <c r="A324" s="171" t="s">
        <v>888</v>
      </c>
      <c r="B324" s="171" t="s">
        <v>886</v>
      </c>
      <c r="C324" s="171">
        <v>180</v>
      </c>
      <c r="D324" s="171" t="s">
        <v>885</v>
      </c>
      <c r="E324" s="171" t="s">
        <v>864</v>
      </c>
      <c r="J324" s="171">
        <v>650</v>
      </c>
      <c r="K324" s="171">
        <v>0</v>
      </c>
      <c r="L324" s="171">
        <v>0</v>
      </c>
      <c r="N324" s="171">
        <v>0</v>
      </c>
    </row>
    <row r="325" spans="1:14">
      <c r="A325" s="171" t="s">
        <v>887</v>
      </c>
      <c r="B325" s="171" t="s">
        <v>886</v>
      </c>
      <c r="C325" s="171">
        <v>180</v>
      </c>
      <c r="D325" s="171" t="s">
        <v>885</v>
      </c>
      <c r="E325" s="171" t="s">
        <v>864</v>
      </c>
      <c r="J325" s="171">
        <v>650</v>
      </c>
      <c r="K325" s="171">
        <v>0</v>
      </c>
      <c r="L325" s="171">
        <v>0</v>
      </c>
    </row>
    <row r="326" spans="1:14">
      <c r="A326" s="171" t="s">
        <v>884</v>
      </c>
      <c r="B326" s="171" t="s">
        <v>881</v>
      </c>
      <c r="C326" s="171">
        <v>300</v>
      </c>
      <c r="D326" s="171" t="s">
        <v>869</v>
      </c>
      <c r="E326" s="171" t="s">
        <v>883</v>
      </c>
      <c r="F326" s="173">
        <v>45890</v>
      </c>
      <c r="G326" s="173">
        <v>46176</v>
      </c>
      <c r="H326" s="173">
        <v>46538</v>
      </c>
      <c r="J326" s="171">
        <v>599</v>
      </c>
      <c r="K326" s="171">
        <v>713.02</v>
      </c>
      <c r="L326" s="171">
        <v>674</v>
      </c>
      <c r="M326" s="171">
        <v>0</v>
      </c>
      <c r="N326" s="171">
        <v>250</v>
      </c>
    </row>
    <row r="327" spans="1:14">
      <c r="A327" s="171" t="s">
        <v>882</v>
      </c>
      <c r="B327" s="171" t="s">
        <v>881</v>
      </c>
      <c r="C327" s="171">
        <v>300</v>
      </c>
      <c r="D327" s="171" t="s">
        <v>869</v>
      </c>
      <c r="E327" s="171" t="s">
        <v>880</v>
      </c>
      <c r="F327" s="173">
        <v>45890</v>
      </c>
      <c r="G327" s="173">
        <v>46174</v>
      </c>
      <c r="H327" s="173">
        <v>46387</v>
      </c>
      <c r="J327" s="171">
        <v>599</v>
      </c>
      <c r="K327" s="171">
        <v>713.02</v>
      </c>
      <c r="L327" s="171">
        <v>674</v>
      </c>
      <c r="M327" s="171">
        <v>0</v>
      </c>
      <c r="N327" s="171">
        <v>250</v>
      </c>
    </row>
    <row r="328" spans="1:14">
      <c r="A328" s="171" t="s">
        <v>879</v>
      </c>
      <c r="B328" s="171" t="s">
        <v>876</v>
      </c>
      <c r="C328" s="171">
        <v>262.5</v>
      </c>
      <c r="D328" s="171" t="s">
        <v>869</v>
      </c>
      <c r="E328" s="171" t="s">
        <v>878</v>
      </c>
      <c r="F328" s="173">
        <v>45889</v>
      </c>
      <c r="G328" s="173">
        <v>45890</v>
      </c>
      <c r="H328" s="173">
        <v>46227</v>
      </c>
      <c r="J328" s="171">
        <v>549</v>
      </c>
      <c r="K328" s="171">
        <v>642.87</v>
      </c>
      <c r="L328" s="171">
        <v>549</v>
      </c>
      <c r="M328" s="171">
        <v>54.85</v>
      </c>
      <c r="N328" s="171">
        <v>250</v>
      </c>
    </row>
    <row r="329" spans="1:14">
      <c r="A329" s="171" t="s">
        <v>877</v>
      </c>
      <c r="B329" s="171" t="s">
        <v>876</v>
      </c>
      <c r="C329" s="171">
        <v>262.5</v>
      </c>
      <c r="D329" s="171" t="s">
        <v>869</v>
      </c>
      <c r="E329" s="171" t="s">
        <v>875</v>
      </c>
      <c r="F329" s="173">
        <v>45890</v>
      </c>
      <c r="G329" s="173">
        <v>46174</v>
      </c>
      <c r="H329" s="173">
        <v>46387</v>
      </c>
      <c r="J329" s="171">
        <v>549</v>
      </c>
      <c r="K329" s="171">
        <v>676.02</v>
      </c>
      <c r="L329" s="171">
        <v>624</v>
      </c>
      <c r="M329" s="171">
        <v>0</v>
      </c>
      <c r="N329" s="171">
        <v>250</v>
      </c>
    </row>
    <row r="330" spans="1:14">
      <c r="A330" s="171" t="s">
        <v>874</v>
      </c>
      <c r="B330" s="171" t="s">
        <v>866</v>
      </c>
      <c r="C330" s="171">
        <v>75.75</v>
      </c>
      <c r="D330" s="171" t="s">
        <v>869</v>
      </c>
      <c r="E330" s="171" t="s">
        <v>873</v>
      </c>
      <c r="F330" s="173">
        <v>46128</v>
      </c>
      <c r="G330" s="173">
        <v>46128</v>
      </c>
      <c r="H330" s="173">
        <v>46599</v>
      </c>
      <c r="J330" s="171">
        <v>600</v>
      </c>
      <c r="K330" s="171">
        <v>561.41999999999996</v>
      </c>
      <c r="L330" s="171">
        <v>560</v>
      </c>
      <c r="M330" s="171">
        <v>0</v>
      </c>
      <c r="N330" s="171">
        <v>250</v>
      </c>
    </row>
    <row r="331" spans="1:14">
      <c r="A331" s="171" t="s">
        <v>872</v>
      </c>
      <c r="B331" s="171" t="s">
        <v>866</v>
      </c>
      <c r="C331" s="171">
        <v>75.75</v>
      </c>
      <c r="D331" s="171" t="s">
        <v>871</v>
      </c>
      <c r="E331" s="171" t="s">
        <v>864</v>
      </c>
      <c r="J331" s="172">
        <v>1950</v>
      </c>
      <c r="K331" s="171">
        <v>0</v>
      </c>
      <c r="L331" s="171">
        <v>0</v>
      </c>
      <c r="N331" s="171">
        <v>0</v>
      </c>
    </row>
    <row r="332" spans="1:14">
      <c r="A332" s="171" t="s">
        <v>870</v>
      </c>
      <c r="B332" s="171" t="s">
        <v>866</v>
      </c>
      <c r="C332" s="171">
        <v>75.75</v>
      </c>
      <c r="D332" s="171" t="s">
        <v>869</v>
      </c>
      <c r="E332" s="171" t="s">
        <v>868</v>
      </c>
      <c r="F332" s="173">
        <v>46134</v>
      </c>
      <c r="G332" s="173">
        <v>46134</v>
      </c>
      <c r="H332" s="173">
        <v>46599</v>
      </c>
      <c r="J332" s="172">
        <v>1200</v>
      </c>
      <c r="K332" s="171">
        <v>612.45000000000005</v>
      </c>
      <c r="L332" s="171">
        <v>560</v>
      </c>
      <c r="M332" s="171">
        <v>0</v>
      </c>
      <c r="N332" s="171">
        <v>250</v>
      </c>
    </row>
    <row r="333" spans="1:14">
      <c r="A333" s="171" t="s">
        <v>867</v>
      </c>
      <c r="B333" s="171" t="s">
        <v>866</v>
      </c>
      <c r="C333" s="171">
        <v>75.75</v>
      </c>
      <c r="D333" s="171" t="s">
        <v>865</v>
      </c>
      <c r="E333" s="171" t="s">
        <v>864</v>
      </c>
      <c r="J333" s="172">
        <v>1950</v>
      </c>
      <c r="K333" s="171">
        <v>0</v>
      </c>
      <c r="L333" s="171">
        <v>0</v>
      </c>
      <c r="N333" s="17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F4179-439C-497C-83AA-8F1C43148DF2}">
  <dimension ref="A1:F98"/>
  <sheetViews>
    <sheetView workbookViewId="0">
      <pane ySplit="2" topLeftCell="A3" activePane="bottomLeft" state="frozen"/>
      <selection pane="bottomLeft" activeCell="D18" sqref="D18"/>
    </sheetView>
  </sheetViews>
  <sheetFormatPr defaultRowHeight="14"/>
  <cols>
    <col min="1" max="1" width="40" customWidth="1"/>
    <col min="2" max="3" width="14.6640625" customWidth="1"/>
    <col min="4" max="4" width="22.58203125" bestFit="1" customWidth="1"/>
    <col min="5" max="6" width="14.6640625" customWidth="1"/>
  </cols>
  <sheetData>
    <row r="1" spans="1:5" ht="18">
      <c r="A1" s="174" t="s">
        <v>1598</v>
      </c>
    </row>
    <row r="2" spans="1:5">
      <c r="A2" s="175" t="s">
        <v>1437</v>
      </c>
    </row>
    <row r="4" spans="1:5">
      <c r="A4" s="176" t="s">
        <v>1438</v>
      </c>
      <c r="B4" s="177"/>
      <c r="D4" s="176" t="s">
        <v>1439</v>
      </c>
      <c r="E4" s="177"/>
    </row>
    <row r="5" spans="1:5">
      <c r="A5" t="s">
        <v>1440</v>
      </c>
      <c r="B5" s="178">
        <v>112</v>
      </c>
      <c r="D5" t="s">
        <v>1454</v>
      </c>
      <c r="E5" s="183">
        <v>0.7</v>
      </c>
    </row>
    <row r="6" spans="1:5">
      <c r="A6" t="s">
        <v>1441</v>
      </c>
      <c r="B6" s="179">
        <v>1975</v>
      </c>
      <c r="D6" t="s">
        <v>1455</v>
      </c>
      <c r="E6" s="182">
        <f>B8*E5</f>
        <v>3919999.9999999995</v>
      </c>
    </row>
    <row r="7" spans="1:5">
      <c r="A7" t="s">
        <v>1442</v>
      </c>
      <c r="B7" s="180">
        <f>'Amarillo RR'!E121</f>
        <v>83440</v>
      </c>
      <c r="D7" t="s">
        <v>1456</v>
      </c>
      <c r="E7" s="184">
        <v>7.0000000000000007E-2</v>
      </c>
    </row>
    <row r="8" spans="1:5">
      <c r="A8" t="s">
        <v>1443</v>
      </c>
      <c r="B8" s="181">
        <v>5600000</v>
      </c>
      <c r="D8" t="s">
        <v>1457</v>
      </c>
      <c r="E8" s="179">
        <v>30</v>
      </c>
    </row>
    <row r="9" spans="1:5">
      <c r="A9" t="s">
        <v>1444</v>
      </c>
      <c r="B9" s="182">
        <f>B8/B5</f>
        <v>50000</v>
      </c>
      <c r="D9" t="s">
        <v>1458</v>
      </c>
      <c r="E9" s="183">
        <v>0.02</v>
      </c>
    </row>
    <row r="10" spans="1:5">
      <c r="A10" t="s">
        <v>1445</v>
      </c>
      <c r="B10" s="179">
        <v>4</v>
      </c>
      <c r="D10" t="s">
        <v>1459</v>
      </c>
      <c r="E10" s="186">
        <f>B38/B8</f>
        <v>7.4137832830357131E-2</v>
      </c>
    </row>
    <row r="11" spans="1:5">
      <c r="D11" t="s">
        <v>1460</v>
      </c>
      <c r="E11" s="184">
        <v>8.2500000000000004E-2</v>
      </c>
    </row>
    <row r="12" spans="1:5">
      <c r="A12" t="s">
        <v>1446</v>
      </c>
      <c r="B12" s="183">
        <v>0.03</v>
      </c>
      <c r="D12" t="s">
        <v>1461</v>
      </c>
      <c r="E12" s="183">
        <v>0.02</v>
      </c>
    </row>
    <row r="13" spans="1:5">
      <c r="A13" t="s">
        <v>1447</v>
      </c>
      <c r="B13" s="183">
        <v>0.03</v>
      </c>
      <c r="D13" t="s">
        <v>1462</v>
      </c>
      <c r="E13" s="185">
        <f>B8+B19+B8*E9-E6</f>
        <v>3461000.0000000005</v>
      </c>
    </row>
    <row r="14" spans="1:5">
      <c r="A14" t="s">
        <v>1448</v>
      </c>
      <c r="B14" s="183">
        <v>0.03</v>
      </c>
    </row>
    <row r="15" spans="1:5">
      <c r="A15" t="s">
        <v>1449</v>
      </c>
      <c r="B15" s="183">
        <v>7.0000000000000007E-2</v>
      </c>
    </row>
    <row r="16" spans="1:5">
      <c r="A16" t="s">
        <v>1450</v>
      </c>
      <c r="B16" s="183">
        <v>3.5000000000000003E-2</v>
      </c>
    </row>
    <row r="17" spans="1:2">
      <c r="A17" t="s">
        <v>1451</v>
      </c>
      <c r="B17" s="181">
        <v>250</v>
      </c>
    </row>
    <row r="18" spans="1:2">
      <c r="A18" t="s">
        <v>1452</v>
      </c>
      <c r="B18" s="181">
        <v>100</v>
      </c>
    </row>
    <row r="19" spans="1:2">
      <c r="A19" t="s">
        <v>1453</v>
      </c>
      <c r="B19" s="181">
        <v>1669000</v>
      </c>
    </row>
    <row r="21" spans="1:2">
      <c r="A21" s="176" t="s">
        <v>1463</v>
      </c>
      <c r="B21" s="187" t="s">
        <v>1464</v>
      </c>
    </row>
    <row r="22" spans="1:2">
      <c r="A22" t="s">
        <v>1465</v>
      </c>
      <c r="B22" s="188">
        <f>'Amarillo T12'!N19</f>
        <v>982442.15</v>
      </c>
    </row>
    <row r="23" spans="1:2">
      <c r="A23" t="s">
        <v>1466</v>
      </c>
      <c r="B23" s="188">
        <f>'Amarillo T12'!N51-'Amarillo T12'!N19</f>
        <v>101005.73999999987</v>
      </c>
    </row>
    <row r="24" spans="1:2">
      <c r="A24" s="189" t="s">
        <v>1467</v>
      </c>
      <c r="B24" s="191">
        <f>B22+B23</f>
        <v>1083447.8899999999</v>
      </c>
    </row>
    <row r="25" spans="1:2">
      <c r="A25" t="s">
        <v>836</v>
      </c>
      <c r="B25" s="188">
        <f>'Amarillo T12'!N71</f>
        <v>161237.60999999999</v>
      </c>
    </row>
    <row r="26" spans="1:2">
      <c r="A26" t="s">
        <v>1468</v>
      </c>
      <c r="B26" s="188">
        <f>'Amarillo T12'!N76</f>
        <v>35887.65</v>
      </c>
    </row>
    <row r="27" spans="1:2">
      <c r="A27" t="s">
        <v>1469</v>
      </c>
      <c r="B27" s="188">
        <f>'Amarillo T12'!N80</f>
        <v>30112.6</v>
      </c>
    </row>
    <row r="28" spans="1:2">
      <c r="A28" t="s">
        <v>1470</v>
      </c>
      <c r="B28" s="188">
        <f>'Amarillo T12'!N86</f>
        <v>107499.58</v>
      </c>
    </row>
    <row r="29" spans="1:2">
      <c r="A29" t="s">
        <v>780</v>
      </c>
      <c r="B29" s="188">
        <f>'Amarillo T12'!N89</f>
        <v>61639.03</v>
      </c>
    </row>
    <row r="30" spans="1:2">
      <c r="A30" t="s">
        <v>1471</v>
      </c>
      <c r="B30" s="188">
        <f>'Amarillo T12'!N92</f>
        <v>91105.88</v>
      </c>
    </row>
    <row r="31" spans="1:2">
      <c r="A31" t="s">
        <v>1472</v>
      </c>
      <c r="B31" s="188">
        <f>'Amarillo T12'!N97</f>
        <v>99022.64</v>
      </c>
    </row>
    <row r="32" spans="1:2">
      <c r="A32" t="s">
        <v>1473</v>
      </c>
      <c r="B32" s="188">
        <f>'Amarillo T12'!N59</f>
        <v>39165.1</v>
      </c>
    </row>
    <row r="33" spans="1:6">
      <c r="A33" t="s">
        <v>1474</v>
      </c>
      <c r="B33" s="188">
        <f>'Amarillo T12'!N103</f>
        <v>6204.02</v>
      </c>
    </row>
    <row r="34" spans="1:6">
      <c r="A34" s="189" t="s">
        <v>1475</v>
      </c>
      <c r="B34" s="191">
        <f>SUM(B25:B33)</f>
        <v>631874.11</v>
      </c>
    </row>
    <row r="35" spans="1:6">
      <c r="A35" s="189" t="s">
        <v>1476</v>
      </c>
      <c r="B35" s="191">
        <f>B24-B34</f>
        <v>451573.77999999991</v>
      </c>
    </row>
    <row r="36" spans="1:6" ht="14.5">
      <c r="A36" s="192" t="s">
        <v>1477</v>
      </c>
      <c r="B36" s="193">
        <f>-MAX(0,B16*B24-'Amarillo T12'!N57)</f>
        <v>-8401.9161500000009</v>
      </c>
    </row>
    <row r="37" spans="1:6" ht="14.5">
      <c r="A37" s="192" t="s">
        <v>1478</v>
      </c>
      <c r="B37" s="193">
        <f>-B5*B17</f>
        <v>-28000</v>
      </c>
    </row>
    <row r="38" spans="1:6">
      <c r="A38" s="195" t="s">
        <v>1479</v>
      </c>
      <c r="B38" s="196">
        <f>B35+B36+B37</f>
        <v>415171.86384999991</v>
      </c>
    </row>
    <row r="39" spans="1:6">
      <c r="A39" s="189" t="s">
        <v>1480</v>
      </c>
      <c r="B39" s="186">
        <f>B38/B8</f>
        <v>7.4137832830357131E-2</v>
      </c>
    </row>
    <row r="42" spans="1:6">
      <c r="A42" s="176" t="s">
        <v>1481</v>
      </c>
      <c r="B42" s="177"/>
      <c r="C42" s="177"/>
      <c r="D42" s="177"/>
      <c r="E42" s="177"/>
      <c r="F42" s="177"/>
    </row>
    <row r="43" spans="1:6">
      <c r="A43" s="189"/>
      <c r="B43" s="197" t="s">
        <v>1482</v>
      </c>
      <c r="C43" s="197" t="s">
        <v>1483</v>
      </c>
      <c r="D43" s="197" t="s">
        <v>1484</v>
      </c>
      <c r="E43" s="197" t="s">
        <v>1485</v>
      </c>
      <c r="F43" s="197" t="s">
        <v>1486</v>
      </c>
    </row>
    <row r="44" spans="1:6">
      <c r="A44" t="s">
        <v>1487</v>
      </c>
      <c r="B44" s="182">
        <f>B24</f>
        <v>1083447.8899999999</v>
      </c>
      <c r="C44" s="182">
        <f>B44*(1+$B$12)</f>
        <v>1115951.3266999999</v>
      </c>
      <c r="D44" s="182">
        <f>C44*(1+$B$12)</f>
        <v>1149429.8665009998</v>
      </c>
      <c r="E44" s="182">
        <f>D44*(1+$B$12)</f>
        <v>1183912.7624960297</v>
      </c>
      <c r="F44" s="182">
        <f>E44*(1+$B$12)</f>
        <v>1219430.1453709106</v>
      </c>
    </row>
    <row r="45" spans="1:6" ht="14.5">
      <c r="A45" s="192" t="s">
        <v>1488</v>
      </c>
      <c r="B45" s="198">
        <v>0</v>
      </c>
      <c r="C45" s="199">
        <v>0.4</v>
      </c>
      <c r="D45" s="199">
        <v>0.8</v>
      </c>
      <c r="E45" s="199">
        <v>1</v>
      </c>
      <c r="F45" s="199">
        <v>1</v>
      </c>
    </row>
    <row r="46" spans="1:6">
      <c r="A46" t="s">
        <v>1489</v>
      </c>
      <c r="B46" s="190">
        <f>$B$5*$B$18*12*B45</f>
        <v>0</v>
      </c>
      <c r="C46" s="190">
        <f>$B$5*$B$18*12*C45</f>
        <v>53760</v>
      </c>
      <c r="D46" s="190">
        <f>$B$5*$B$18*12*D45</f>
        <v>107520</v>
      </c>
      <c r="E46" s="190">
        <f>$B$5*$B$18*12*E45</f>
        <v>134400</v>
      </c>
      <c r="F46" s="190">
        <f>$B$5*$B$18*12*F45</f>
        <v>134400</v>
      </c>
    </row>
    <row r="47" spans="1:6">
      <c r="A47" s="189" t="s">
        <v>1467</v>
      </c>
      <c r="B47" s="185">
        <f>B44+B46</f>
        <v>1083447.8899999999</v>
      </c>
      <c r="C47" s="185">
        <f>C44+C46</f>
        <v>1169711.3266999999</v>
      </c>
      <c r="D47" s="185">
        <f>D44+D46</f>
        <v>1256949.8665009998</v>
      </c>
      <c r="E47" s="185">
        <f>E44+E46</f>
        <v>1318312.7624960297</v>
      </c>
      <c r="F47" s="185">
        <f>F44+F46</f>
        <v>1353830.1453709106</v>
      </c>
    </row>
    <row r="49" spans="1:6">
      <c r="A49" s="189" t="s">
        <v>1490</v>
      </c>
    </row>
    <row r="50" spans="1:6">
      <c r="A50" t="s">
        <v>1491</v>
      </c>
      <c r="B50" s="182">
        <f>B34-'Amarillo T12'!N57</f>
        <v>602355.35</v>
      </c>
      <c r="C50" s="182">
        <f>B50*(1+$B$14)</f>
        <v>620426.01049999997</v>
      </c>
      <c r="D50" s="182">
        <f>C50*(1+$B$14)</f>
        <v>639038.79081499996</v>
      </c>
      <c r="E50" s="182">
        <f>D50*(1+$B$14)</f>
        <v>658209.95453945</v>
      </c>
      <c r="F50" s="182">
        <f>E50*(1+$B$14)</f>
        <v>677956.25317563349</v>
      </c>
    </row>
    <row r="51" spans="1:6">
      <c r="A51" s="189" t="s">
        <v>1492</v>
      </c>
      <c r="B51" s="182">
        <f>B47*$B$16</f>
        <v>37920.676149999999</v>
      </c>
      <c r="C51" s="182">
        <f>C47*$B$16</f>
        <v>40939.896434499999</v>
      </c>
      <c r="D51" s="182">
        <f>D47*$B$16</f>
        <v>43993.245327534998</v>
      </c>
      <c r="E51" s="182">
        <f>E47*$B$16</f>
        <v>46140.946687361044</v>
      </c>
      <c r="F51" s="182">
        <f>F47*$B$16</f>
        <v>47384.055087981877</v>
      </c>
    </row>
    <row r="52" spans="1:6">
      <c r="A52" t="s">
        <v>1493</v>
      </c>
      <c r="B52" s="182">
        <f>$B$5*$B$17</f>
        <v>28000</v>
      </c>
      <c r="C52" s="182">
        <f>$B$5*$B$17</f>
        <v>28000</v>
      </c>
      <c r="D52" s="182">
        <f>$B$5*$B$17</f>
        <v>28000</v>
      </c>
      <c r="E52" s="182">
        <f>$B$5*$B$17</f>
        <v>28000</v>
      </c>
      <c r="F52" s="182">
        <f>$B$5*$B$17</f>
        <v>28000</v>
      </c>
    </row>
    <row r="53" spans="1:6">
      <c r="A53" s="189" t="s">
        <v>436</v>
      </c>
      <c r="B53" s="185">
        <f>SUM(B50:B52)</f>
        <v>668276.02614999993</v>
      </c>
      <c r="C53" s="185">
        <f>SUM(C50:C52)</f>
        <v>689365.90693449997</v>
      </c>
      <c r="D53" s="185">
        <f>SUM(D50:D52)</f>
        <v>711032.03614253493</v>
      </c>
      <c r="E53" s="185">
        <f>SUM(E50:E52)</f>
        <v>732350.90122681099</v>
      </c>
      <c r="F53" s="185">
        <f>SUM(F50:F52)</f>
        <v>753340.30826361536</v>
      </c>
    </row>
    <row r="54" spans="1:6">
      <c r="A54" s="195" t="s">
        <v>1494</v>
      </c>
      <c r="B54" s="200">
        <f>B47-B53</f>
        <v>415171.86384999997</v>
      </c>
      <c r="C54" s="200">
        <f>C47-C53</f>
        <v>480345.41976549989</v>
      </c>
      <c r="D54" s="200">
        <f>D47-D53</f>
        <v>545917.83035846485</v>
      </c>
      <c r="E54" s="200">
        <f>E47-E53</f>
        <v>585961.86126921873</v>
      </c>
      <c r="F54" s="200">
        <f>F47-F53</f>
        <v>600489.83710729529</v>
      </c>
    </row>
    <row r="55" spans="1:6">
      <c r="A55" t="s">
        <v>1495</v>
      </c>
      <c r="B55" s="201">
        <f>B54/B47</f>
        <v>0.38319504581803193</v>
      </c>
      <c r="C55" s="201">
        <f>C54/C47</f>
        <v>0.41065296094948034</v>
      </c>
      <c r="D55" s="201">
        <f>D54/D47</f>
        <v>0.43431949428353006</v>
      </c>
      <c r="E55" s="201">
        <f>E54/E47</f>
        <v>0.44447863810389487</v>
      </c>
      <c r="F55" s="201">
        <f>F54/F47</f>
        <v>0.44354887439943824</v>
      </c>
    </row>
    <row r="59" spans="1:6">
      <c r="A59" s="176" t="s">
        <v>1496</v>
      </c>
      <c r="B59" s="177"/>
      <c r="C59" s="177"/>
      <c r="D59" s="177"/>
      <c r="E59" s="177"/>
      <c r="F59" s="177"/>
    </row>
    <row r="60" spans="1:6">
      <c r="A60" t="s">
        <v>1497</v>
      </c>
      <c r="C60" s="182">
        <f>$E$6</f>
        <v>3919999.9999999995</v>
      </c>
      <c r="D60" s="182">
        <f>C63</f>
        <v>3878501.2982364437</v>
      </c>
      <c r="E60" s="182">
        <f>D63</f>
        <v>3834097.6873494387</v>
      </c>
      <c r="F60" s="182">
        <f>E63</f>
        <v>3786585.8237003437</v>
      </c>
    </row>
    <row r="61" spans="1:6">
      <c r="A61" t="s">
        <v>1498</v>
      </c>
      <c r="C61" s="182">
        <f>C60*$E$7</f>
        <v>274400</v>
      </c>
      <c r="D61" s="182">
        <f>D60*$E$7</f>
        <v>271495.09087655105</v>
      </c>
      <c r="E61" s="182">
        <f>E60*$E$7</f>
        <v>268386.83811446076</v>
      </c>
      <c r="F61" s="182">
        <f>F60*$E$7</f>
        <v>265061.00765902409</v>
      </c>
    </row>
    <row r="62" spans="1:6">
      <c r="A62" t="s">
        <v>1499</v>
      </c>
      <c r="C62" s="182">
        <f>-PMT($E$7,$E$8,$E$6)-C61</f>
        <v>41498.701763555815</v>
      </c>
      <c r="D62" s="182">
        <f>-PMT($E$7,$E$8,$E$6)-D61</f>
        <v>44403.610887004761</v>
      </c>
      <c r="E62" s="182">
        <f>-PMT($E$7,$E$8,$E$6)-E61</f>
        <v>47511.863649095059</v>
      </c>
      <c r="F62" s="182">
        <f>-PMT($E$7,$E$8,$E$6)-F61</f>
        <v>50837.694104531722</v>
      </c>
    </row>
    <row r="63" spans="1:6">
      <c r="A63" t="s">
        <v>1500</v>
      </c>
      <c r="C63" s="182">
        <f>C60-C62</f>
        <v>3878501.2982364437</v>
      </c>
      <c r="D63" s="182">
        <f>D60-D62</f>
        <v>3834097.6873494387</v>
      </c>
      <c r="E63" s="182">
        <f>E60-E62</f>
        <v>3786585.8237003437</v>
      </c>
      <c r="F63" s="182">
        <f>F60-F62</f>
        <v>3735748.1295958119</v>
      </c>
    </row>
    <row r="64" spans="1:6" ht="14.5">
      <c r="A64" s="192" t="s">
        <v>1501</v>
      </c>
      <c r="C64" s="194">
        <f>C61+C62</f>
        <v>315898.70176355581</v>
      </c>
      <c r="D64" s="194">
        <f>D61+D62</f>
        <v>315898.70176355581</v>
      </c>
      <c r="E64" s="194">
        <f>E61+E62</f>
        <v>315898.70176355581</v>
      </c>
      <c r="F64" s="194">
        <f>F61+F62</f>
        <v>315898.70176355581</v>
      </c>
    </row>
    <row r="66" spans="1:6">
      <c r="A66" t="s">
        <v>785</v>
      </c>
      <c r="C66" s="182">
        <f>C54</f>
        <v>480345.41976549989</v>
      </c>
      <c r="D66" s="182">
        <f>D54</f>
        <v>545917.83035846485</v>
      </c>
      <c r="E66" s="182">
        <f>E54</f>
        <v>585961.86126921873</v>
      </c>
      <c r="F66" s="182">
        <f>F54</f>
        <v>600489.83710729529</v>
      </c>
    </row>
    <row r="67" spans="1:6">
      <c r="A67" t="s">
        <v>1502</v>
      </c>
      <c r="C67" s="190">
        <f>-C64</f>
        <v>-315898.70176355581</v>
      </c>
      <c r="D67" s="190">
        <f>-D64</f>
        <v>-315898.70176355581</v>
      </c>
      <c r="E67" s="190">
        <f>-E64</f>
        <v>-315898.70176355581</v>
      </c>
      <c r="F67" s="190">
        <f>-F64</f>
        <v>-315898.70176355581</v>
      </c>
    </row>
    <row r="68" spans="1:6">
      <c r="A68" s="189" t="s">
        <v>1503</v>
      </c>
      <c r="C68" s="185">
        <f>C66-C64</f>
        <v>164446.71800194407</v>
      </c>
      <c r="D68" s="185">
        <f>D66-D64</f>
        <v>230019.12859490904</v>
      </c>
      <c r="E68" s="185">
        <f>E66-E64</f>
        <v>270063.15950566292</v>
      </c>
      <c r="F68" s="185">
        <f>F66-F64</f>
        <v>284591.13534373947</v>
      </c>
    </row>
    <row r="70" spans="1:6">
      <c r="A70" t="s">
        <v>1504</v>
      </c>
      <c r="F70" s="185">
        <f>F54*(1+$B$12)/$E$11</f>
        <v>7497024.6329759285</v>
      </c>
    </row>
    <row r="71" spans="1:6">
      <c r="A71" t="s">
        <v>1505</v>
      </c>
      <c r="F71" s="190">
        <f>-F70*$E$12</f>
        <v>-149940.49265951858</v>
      </c>
    </row>
    <row r="72" spans="1:6">
      <c r="A72" t="s">
        <v>1506</v>
      </c>
      <c r="F72" s="190">
        <f>-F63</f>
        <v>-3735748.1295958119</v>
      </c>
    </row>
    <row r="73" spans="1:6">
      <c r="A73" s="189" t="s">
        <v>1507</v>
      </c>
      <c r="F73" s="185">
        <f>F70+F71+F72</f>
        <v>3611336.010720598</v>
      </c>
    </row>
    <row r="75" spans="1:6">
      <c r="A75" s="202" t="s">
        <v>1508</v>
      </c>
      <c r="B75" s="203">
        <f>-E13</f>
        <v>-3461000.0000000005</v>
      </c>
      <c r="C75" s="203">
        <f>C68</f>
        <v>164446.71800194407</v>
      </c>
      <c r="D75" s="203">
        <f>D68</f>
        <v>230019.12859490904</v>
      </c>
      <c r="E75" s="203">
        <f>E68</f>
        <v>270063.15950566292</v>
      </c>
      <c r="F75" s="203">
        <f>F68+F73</f>
        <v>3895927.1460643373</v>
      </c>
    </row>
    <row r="77" spans="1:6">
      <c r="A77" s="207" t="s">
        <v>1510</v>
      </c>
      <c r="C77" s="208" t="s">
        <v>1511</v>
      </c>
      <c r="E77" s="208" t="s">
        <v>1512</v>
      </c>
    </row>
    <row r="78" spans="1:6">
      <c r="A78" t="s">
        <v>1513</v>
      </c>
      <c r="C78" s="209">
        <f>IRR(B75:F75)</f>
        <v>7.7154977782309286E-2</v>
      </c>
      <c r="E78" s="210">
        <v>0.22389999999999999</v>
      </c>
    </row>
    <row r="79" spans="1:6">
      <c r="A79" t="s">
        <v>1514</v>
      </c>
      <c r="C79" s="211">
        <f>SUM(C75:F75)/-B75</f>
        <v>1.3176700815275508</v>
      </c>
      <c r="E79" s="212">
        <v>2.0299999999999998</v>
      </c>
    </row>
    <row r="80" spans="1:6">
      <c r="A80" t="s">
        <v>1515</v>
      </c>
      <c r="C80" s="209">
        <f>AVERAGE(C68:F68)/-B75</f>
        <v>6.8558230384733854E-2</v>
      </c>
      <c r="E80" s="210">
        <v>0.112</v>
      </c>
    </row>
    <row r="81" spans="1:6">
      <c r="A81" t="s">
        <v>1516</v>
      </c>
      <c r="C81" s="209">
        <f>IRR(B82:F82)</f>
        <v>7.3432382588581868E-2</v>
      </c>
      <c r="E81" s="213" t="s">
        <v>1517</v>
      </c>
    </row>
    <row r="82" spans="1:6" ht="14.5">
      <c r="A82" s="204" t="s">
        <v>1509</v>
      </c>
      <c r="B82" s="205">
        <f>-(B8+B19+B8*E9)</f>
        <v>-7381000</v>
      </c>
      <c r="C82" s="206">
        <f>C54</f>
        <v>480345.41976549989</v>
      </c>
      <c r="D82" s="206">
        <f>D54</f>
        <v>545917.83035846485</v>
      </c>
      <c r="E82" s="206">
        <f>E54</f>
        <v>585961.86126921873</v>
      </c>
      <c r="F82" s="206">
        <f>F54+F70*(1+$E$12*-1)</f>
        <v>7947573.9774237052</v>
      </c>
    </row>
    <row r="85" spans="1:6">
      <c r="A85" s="176" t="s">
        <v>1518</v>
      </c>
      <c r="B85" s="177"/>
      <c r="C85" s="177"/>
      <c r="D85" s="177"/>
      <c r="E85" s="177"/>
      <c r="F85" s="177"/>
    </row>
    <row r="86" spans="1:6">
      <c r="A86" s="215" t="s">
        <v>1519</v>
      </c>
      <c r="B86" s="216">
        <v>0.02</v>
      </c>
      <c r="C86" s="216">
        <v>2.5000000000000001E-2</v>
      </c>
      <c r="D86" s="216">
        <v>0.03</v>
      </c>
      <c r="E86" s="216">
        <v>3.5000000000000003E-2</v>
      </c>
      <c r="F86" s="216">
        <v>0.04</v>
      </c>
    </row>
    <row r="87" spans="1:6">
      <c r="A87" s="186">
        <v>7.2499999999999995E-2</v>
      </c>
      <c r="B87" s="221">
        <f>_xlfn.LET(_xlpm.growth,B$86,_xlpm.xcap,$A87,_xlpm.egibase,$B$24,_xlpm.infl,$B$14,_xlpm.mgmt,$B$16,_xlpm.opexb,$B$50,_xlpm.resv,$B$5*$B$17,_xlpm.dsvc,-PMT($E$7,$E$8,$E$6),_xlpm.equity,$E$13,_xlpm.payoff,$F$63,_xlpm.sellc,$E$12,_xlpm.inca,_xlpm.egibase*(1+_xlpm.growth)^1+$C$46,_xlpm.incb,_xlpm.egibase*(1+_xlpm.growth)^2+$D$46,_xlpm.incc,_xlpm.egibase*(1+_xlpm.growth)^3+$E$46,_xlpm.incd,_xlpm.egibase*(1+_xlpm.growth)^4+$F$46,_xlpm.noia,_xlpm.inca-(_xlpm.opexb*(1+_xlpm.infl)^1+_xlpm.mgmt*_xlpm.inca+_xlpm.resv),_xlpm.noib,_xlpm.incb-(_xlpm.opexb*(1+_xlpm.infl)^2+_xlpm.mgmt*_xlpm.incb+_xlpm.resv),_xlpm.noic,_xlpm.incc-(_xlpm.opexb*(1+_xlpm.infl)^3+_xlpm.mgmt*_xlpm.incc+_xlpm.resv),_xlpm.noid,_xlpm.incd-(_xlpm.opexb*(1+_xlpm.infl)^4+_xlpm.mgmt*_xlpm.incd+_xlpm.resv),_xlpm.exitv,_xlpm.noid*(1+_xlpm.growth)/_xlpm.xcap,_xlpm.netsale,_xlpm.exitv*(1-_xlpm.sellc)-_xlpm.payoff,IRR(_xlfn.HSTACK(-_xlpm.equity,_xlpm.noia-_xlpm.dsvc,_xlpm.noib-_xlpm.dsvc,_xlpm.noic-_xlpm.dsvc,_xlpm.noid-_xlpm.dsvc+_xlpm.netsale)))</f>
        <v>8.8941154652876442E-2</v>
      </c>
      <c r="C87" s="217">
        <f t="shared" ref="C87:F91" si="0">_xlfn.LET(_xlpm.growth,C$86,_xlpm.xcap,$A87,_xlpm.egibase,$B$24,_xlpm.infl,$B$14,_xlpm.mgmt,$B$16,_xlpm.opexb,$B$50,_xlpm.resv,$B$5*$B$17,_xlpm.dsvc,-PMT($E$7,$E$8,$E$6),_xlpm.equity,$E$13,_xlpm.payoff,$F$63,_xlpm.sellc,$E$12,_xlpm.inca,_xlpm.egibase*(1+_xlpm.growth)^1+$C$46,_xlpm.incb,_xlpm.egibase*(1+_xlpm.growth)^2+$D$46,_xlpm.incc,_xlpm.egibase*(1+_xlpm.growth)^3+$E$46,_xlpm.incd,_xlpm.egibase*(1+_xlpm.growth)^4+$F$46,_xlpm.noia,_xlpm.inca-(_xlpm.opexb*(1+_xlpm.infl)^1+_xlpm.mgmt*_xlpm.inca+_xlpm.resv),_xlpm.noib,_xlpm.incb-(_xlpm.opexb*(1+_xlpm.infl)^2+_xlpm.mgmt*_xlpm.incb+_xlpm.resv),_xlpm.noic,_xlpm.incc-(_xlpm.opexb*(1+_xlpm.infl)^3+_xlpm.mgmt*_xlpm.incc+_xlpm.resv),_xlpm.noid,_xlpm.incd-(_xlpm.opexb*(1+_xlpm.infl)^4+_xlpm.mgmt*_xlpm.incd+_xlpm.resv),_xlpm.exitv,_xlpm.noid*(1+_xlpm.growth)/_xlpm.xcap,_xlpm.netsale,_xlpm.exitv*(1-_xlpm.sellc)-_xlpm.payoff,IRR(_xlfn.HSTACK(-_xlpm.equity,_xlpm.noia-_xlpm.dsvc,_xlpm.noib-_xlpm.dsvc,_xlpm.noic-_xlpm.dsvc,_xlpm.noid-_xlpm.dsvc+_xlpm.netsale)))</f>
        <v>0.11266180377027157</v>
      </c>
      <c r="D87" s="217">
        <f t="shared" si="0"/>
        <v>0.1354774210661891</v>
      </c>
      <c r="E87" s="217">
        <f t="shared" si="0"/>
        <v>0.15749411022794546</v>
      </c>
      <c r="F87" s="224">
        <f t="shared" si="0"/>
        <v>0.17880019421862259</v>
      </c>
    </row>
    <row r="88" spans="1:6">
      <c r="A88" s="186">
        <v>7.7499999999999999E-2</v>
      </c>
      <c r="B88" s="222">
        <f t="shared" ref="B88:F91" si="1">_xlfn.LET(_xlpm.growth,B$86,_xlpm.xcap,$A88,_xlpm.egibase,$B$24,_xlpm.infl,$B$14,_xlpm.mgmt,$B$16,_xlpm.opexb,$B$50,_xlpm.resv,$B$5*$B$17,_xlpm.dsvc,-PMT($E$7,$E$8,$E$6),_xlpm.equity,$E$13,_xlpm.payoff,$F$63,_xlpm.sellc,$E$12,_xlpm.inca,_xlpm.egibase*(1+_xlpm.growth)^1+$C$46,_xlpm.incb,_xlpm.egibase*(1+_xlpm.growth)^2+$D$46,_xlpm.incc,_xlpm.egibase*(1+_xlpm.growth)^3+$E$46,_xlpm.incd,_xlpm.egibase*(1+_xlpm.growth)^4+$F$46,_xlpm.noia,_xlpm.inca-(_xlpm.opexb*(1+_xlpm.infl)^1+_xlpm.mgmt*_xlpm.inca+_xlpm.resv),_xlpm.noib,_xlpm.incb-(_xlpm.opexb*(1+_xlpm.infl)^2+_xlpm.mgmt*_xlpm.incb+_xlpm.resv),_xlpm.noic,_xlpm.incc-(_xlpm.opexb*(1+_xlpm.infl)^3+_xlpm.mgmt*_xlpm.incc+_xlpm.resv),_xlpm.noid,_xlpm.incd-(_xlpm.opexb*(1+_xlpm.infl)^4+_xlpm.mgmt*_xlpm.incd+_xlpm.resv),_xlpm.exitv,_xlpm.noid*(1+_xlpm.growth)/_xlpm.xcap,_xlpm.netsale,_xlpm.exitv*(1-_xlpm.sellc)-_xlpm.payoff,IRR(_xlfn.HSTACK(-_xlpm.equity,_xlpm.noia-_xlpm.dsvc,_xlpm.noib-_xlpm.dsvc,_xlpm.noic-_xlpm.dsvc,_xlpm.noid-_xlpm.dsvc+_xlpm.netsale)))</f>
        <v>5.7883347168290689E-2</v>
      </c>
      <c r="C88" s="218">
        <f t="shared" si="0"/>
        <v>8.2266765782182283E-2</v>
      </c>
      <c r="D88" s="218">
        <f t="shared" si="0"/>
        <v>0.10563974413370736</v>
      </c>
      <c r="E88" s="218">
        <f t="shared" si="0"/>
        <v>0.12812762733574168</v>
      </c>
      <c r="F88" s="225">
        <f t="shared" si="0"/>
        <v>0.14983354628122814</v>
      </c>
    </row>
    <row r="89" spans="1:6">
      <c r="A89" s="186">
        <v>8.2500000000000004E-2</v>
      </c>
      <c r="B89" s="222">
        <f t="shared" si="1"/>
        <v>2.8008358475744677E-2</v>
      </c>
      <c r="C89" s="218">
        <f t="shared" si="0"/>
        <v>5.3148273567904747E-2</v>
      </c>
      <c r="D89" s="219">
        <f t="shared" si="0"/>
        <v>7.7154977782309286E-2</v>
      </c>
      <c r="E89" s="218">
        <f t="shared" si="0"/>
        <v>0.10017752201336383</v>
      </c>
      <c r="F89" s="225">
        <f t="shared" si="0"/>
        <v>0.12233697776220764</v>
      </c>
    </row>
    <row r="90" spans="1:6">
      <c r="A90" s="186">
        <v>8.7499999999999994E-2</v>
      </c>
      <c r="B90" s="222">
        <f t="shared" si="1"/>
        <v>-9.4615102726913758E-4</v>
      </c>
      <c r="C90" s="218">
        <f t="shared" si="0"/>
        <v>2.5055444084842282E-2</v>
      </c>
      <c r="D90" s="218">
        <f t="shared" si="0"/>
        <v>4.9779729285024388E-2</v>
      </c>
      <c r="E90" s="218">
        <f t="shared" si="0"/>
        <v>7.3405248782326682E-2</v>
      </c>
      <c r="F90" s="225">
        <f t="shared" si="0"/>
        <v>9.6074984376254946E-2</v>
      </c>
    </row>
    <row r="91" spans="1:6">
      <c r="A91" s="186">
        <v>9.2499999999999999E-2</v>
      </c>
      <c r="B91" s="223">
        <f t="shared" si="1"/>
        <v>-2.9214602784798593E-2</v>
      </c>
      <c r="C91" s="220">
        <f t="shared" si="0"/>
        <v>-2.2310206733791027E-3</v>
      </c>
      <c r="D91" s="220">
        <f t="shared" si="0"/>
        <v>2.3304623056386253E-2</v>
      </c>
      <c r="E91" s="220">
        <f t="shared" si="0"/>
        <v>4.7607974730874636E-2</v>
      </c>
      <c r="F91" s="226">
        <f t="shared" si="0"/>
        <v>7.0849015147502081E-2</v>
      </c>
    </row>
    <row r="93" spans="1:6">
      <c r="A93" s="227" t="s">
        <v>1520</v>
      </c>
      <c r="B93" s="228"/>
      <c r="C93" s="228"/>
      <c r="D93" s="228"/>
      <c r="E93" s="228"/>
      <c r="F93" s="228"/>
    </row>
    <row r="94" spans="1:6">
      <c r="A94" s="229" t="s">
        <v>1521</v>
      </c>
    </row>
    <row r="95" spans="1:6">
      <c r="A95" s="229" t="s">
        <v>1522</v>
      </c>
    </row>
    <row r="96" spans="1:6">
      <c r="A96" s="229" t="s">
        <v>1523</v>
      </c>
    </row>
    <row r="97" spans="1:1">
      <c r="A97" s="229" t="s">
        <v>1524</v>
      </c>
    </row>
    <row r="98" spans="1:1">
      <c r="A98" s="230" t="s">
        <v>1525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6520F-0CC1-44A4-B0FC-0207DF18034D}">
  <dimension ref="A1:G98"/>
  <sheetViews>
    <sheetView workbookViewId="0">
      <pane ySplit="2" topLeftCell="A69" activePane="bottomLeft" state="frozen"/>
      <selection pane="bottomLeft" activeCell="A2" sqref="A2"/>
    </sheetView>
  </sheetViews>
  <sheetFormatPr defaultRowHeight="14"/>
  <cols>
    <col min="1" max="1" width="40" customWidth="1"/>
    <col min="2" max="3" width="13.6640625" customWidth="1"/>
    <col min="4" max="4" width="22.58203125" bestFit="1" customWidth="1"/>
    <col min="5" max="7" width="13.6640625" customWidth="1"/>
  </cols>
  <sheetData>
    <row r="1" spans="1:5" ht="18">
      <c r="A1" s="174" t="s">
        <v>496</v>
      </c>
    </row>
    <row r="2" spans="1:5">
      <c r="A2" s="175" t="s">
        <v>1526</v>
      </c>
    </row>
    <row r="4" spans="1:5">
      <c r="A4" s="176" t="s">
        <v>1438</v>
      </c>
      <c r="B4" s="177"/>
      <c r="D4" s="176" t="s">
        <v>1439</v>
      </c>
      <c r="E4" s="177"/>
    </row>
    <row r="5" spans="1:5">
      <c r="A5" t="s">
        <v>1440</v>
      </c>
      <c r="B5" s="178">
        <v>136</v>
      </c>
      <c r="D5" t="s">
        <v>1454</v>
      </c>
      <c r="E5" s="183">
        <v>0.7</v>
      </c>
    </row>
    <row r="6" spans="1:5">
      <c r="A6" t="s">
        <v>1441</v>
      </c>
      <c r="B6" s="179">
        <v>1974</v>
      </c>
      <c r="D6" t="s">
        <v>1455</v>
      </c>
      <c r="E6" s="182">
        <f>B8*E5</f>
        <v>5075000</v>
      </c>
    </row>
    <row r="7" spans="1:5">
      <c r="A7" t="s">
        <v>1442</v>
      </c>
      <c r="B7" s="180">
        <f>'Oak RR'!F140</f>
        <v>100302</v>
      </c>
      <c r="D7" t="s">
        <v>1456</v>
      </c>
      <c r="E7" s="184">
        <v>7.4999999999999997E-2</v>
      </c>
    </row>
    <row r="8" spans="1:5">
      <c r="A8" t="s">
        <v>1443</v>
      </c>
      <c r="B8" s="181">
        <v>7250000</v>
      </c>
      <c r="D8" t="s">
        <v>1457</v>
      </c>
      <c r="E8" s="179">
        <v>30</v>
      </c>
    </row>
    <row r="9" spans="1:5">
      <c r="A9" t="s">
        <v>1444</v>
      </c>
      <c r="B9" s="182">
        <f>B8/B5</f>
        <v>53308.823529411762</v>
      </c>
      <c r="D9" t="s">
        <v>1458</v>
      </c>
      <c r="E9" s="183">
        <v>0.02</v>
      </c>
    </row>
    <row r="10" spans="1:5">
      <c r="A10" t="s">
        <v>1445</v>
      </c>
      <c r="B10" s="179">
        <v>5</v>
      </c>
      <c r="D10" t="s">
        <v>1459</v>
      </c>
      <c r="E10" s="186">
        <f>B33/B8</f>
        <v>9.6746066227586205E-2</v>
      </c>
    </row>
    <row r="11" spans="1:5">
      <c r="D11" t="s">
        <v>1460</v>
      </c>
      <c r="E11" s="184">
        <v>9.2499999999999999E-2</v>
      </c>
    </row>
    <row r="12" spans="1:5">
      <c r="A12" t="s">
        <v>1446</v>
      </c>
      <c r="B12" s="183">
        <v>0.03</v>
      </c>
      <c r="D12" t="s">
        <v>1461</v>
      </c>
      <c r="E12" s="183">
        <v>0.02</v>
      </c>
    </row>
    <row r="13" spans="1:5">
      <c r="A13" t="s">
        <v>1447</v>
      </c>
      <c r="B13" s="183">
        <v>0.03</v>
      </c>
      <c r="D13" t="s">
        <v>1462</v>
      </c>
      <c r="E13" s="185">
        <f>B8+B19+B8*E9-E6</f>
        <v>4156000</v>
      </c>
    </row>
    <row r="14" spans="1:5">
      <c r="A14" t="s">
        <v>1448</v>
      </c>
      <c r="B14" s="183">
        <v>0.03</v>
      </c>
    </row>
    <row r="15" spans="1:5">
      <c r="A15" t="s">
        <v>1449</v>
      </c>
      <c r="B15" s="183">
        <v>7.0000000000000007E-2</v>
      </c>
    </row>
    <row r="16" spans="1:5">
      <c r="A16" t="s">
        <v>1450</v>
      </c>
      <c r="B16" s="183">
        <v>3.5000000000000003E-2</v>
      </c>
    </row>
    <row r="17" spans="1:2">
      <c r="A17" t="s">
        <v>1451</v>
      </c>
      <c r="B17" s="181">
        <v>250</v>
      </c>
    </row>
    <row r="18" spans="1:2">
      <c r="A18" t="s">
        <v>1527</v>
      </c>
      <c r="B18" s="181">
        <v>110</v>
      </c>
    </row>
    <row r="19" spans="1:2">
      <c r="A19" t="s">
        <v>1453</v>
      </c>
      <c r="B19" s="181">
        <v>1836000</v>
      </c>
    </row>
    <row r="21" spans="1:2">
      <c r="A21" s="176" t="s">
        <v>1463</v>
      </c>
      <c r="B21" s="187" t="s">
        <v>1464</v>
      </c>
    </row>
    <row r="22" spans="1:2">
      <c r="A22" t="s">
        <v>1528</v>
      </c>
      <c r="B22" s="188">
        <f>'Oak T-12'!N8+'Oak T-12'!N9</f>
        <v>1549904.8</v>
      </c>
    </row>
    <row r="23" spans="1:2">
      <c r="A23" t="s">
        <v>1529</v>
      </c>
      <c r="B23" s="188">
        <f>'Oak T-12'!N23-('Oak T-12'!N8+'Oak T-12'!N9)</f>
        <v>16842.909999999916</v>
      </c>
    </row>
    <row r="24" spans="1:2">
      <c r="A24" s="189" t="s">
        <v>1467</v>
      </c>
      <c r="B24" s="191">
        <f>B22+B23</f>
        <v>1566747.71</v>
      </c>
    </row>
    <row r="25" spans="1:2">
      <c r="A25" t="s">
        <v>1530</v>
      </c>
      <c r="B25" s="188">
        <f>'Oak T-12'!N44</f>
        <v>524060.05</v>
      </c>
    </row>
    <row r="26" spans="1:2">
      <c r="A26" t="s">
        <v>1531</v>
      </c>
      <c r="B26" s="188">
        <f>'Oak T-12'!N48</f>
        <v>62649.79</v>
      </c>
    </row>
    <row r="27" spans="1:2">
      <c r="A27" t="s">
        <v>1532</v>
      </c>
      <c r="B27" s="188">
        <f>'Oak T-12'!N49</f>
        <v>73102.509999999995</v>
      </c>
    </row>
    <row r="28" spans="1:2">
      <c r="A28" t="s">
        <v>780</v>
      </c>
      <c r="B28" s="188">
        <f>'Oak T-12'!N50</f>
        <v>179340</v>
      </c>
    </row>
    <row r="29" spans="1:2">
      <c r="A29" s="189" t="s">
        <v>1475</v>
      </c>
      <c r="B29" s="191">
        <f>SUM(B25:B28)</f>
        <v>839152.35</v>
      </c>
    </row>
    <row r="30" spans="1:2">
      <c r="A30" s="189" t="s">
        <v>1476</v>
      </c>
      <c r="B30" s="191">
        <f>B24-B29</f>
        <v>727595.36</v>
      </c>
    </row>
    <row r="31" spans="1:2" ht="14.5">
      <c r="A31" s="192" t="s">
        <v>1536</v>
      </c>
      <c r="B31" s="193">
        <f>'Oak T-12'!N48-B16*B24</f>
        <v>7813.6201499999952</v>
      </c>
    </row>
    <row r="32" spans="1:2" ht="14.5">
      <c r="A32" s="192" t="s">
        <v>1478</v>
      </c>
      <c r="B32" s="193">
        <f>-B5*B17</f>
        <v>-34000</v>
      </c>
    </row>
    <row r="33" spans="1:7">
      <c r="A33" s="195" t="s">
        <v>1479</v>
      </c>
      <c r="B33" s="196">
        <f>B30+B31+B32</f>
        <v>701408.98014999996</v>
      </c>
    </row>
    <row r="34" spans="1:7">
      <c r="A34" s="189" t="s">
        <v>1480</v>
      </c>
      <c r="B34" s="186">
        <f>B33/B8</f>
        <v>9.6746066227586205E-2</v>
      </c>
    </row>
    <row r="42" spans="1:7">
      <c r="A42" s="176" t="s">
        <v>1481</v>
      </c>
      <c r="B42" s="177"/>
      <c r="C42" s="177"/>
      <c r="D42" s="177"/>
      <c r="E42" s="177"/>
      <c r="F42" s="177"/>
      <c r="G42" s="177"/>
    </row>
    <row r="43" spans="1:7">
      <c r="B43" s="197" t="s">
        <v>1482</v>
      </c>
      <c r="C43" s="197" t="s">
        <v>1483</v>
      </c>
      <c r="D43" s="197" t="s">
        <v>1484</v>
      </c>
      <c r="E43" s="197" t="s">
        <v>1485</v>
      </c>
      <c r="F43" s="197" t="s">
        <v>1486</v>
      </c>
      <c r="G43" s="197" t="s">
        <v>1533</v>
      </c>
    </row>
    <row r="44" spans="1:7">
      <c r="A44" t="s">
        <v>1487</v>
      </c>
      <c r="B44" s="182">
        <f>B24</f>
        <v>1566747.71</v>
      </c>
      <c r="C44" s="182">
        <f>B44*(1+$B$12)</f>
        <v>1613750.1413</v>
      </c>
      <c r="D44" s="182">
        <f>C44*(1+$B$12)</f>
        <v>1662162.6455390002</v>
      </c>
      <c r="E44" s="182">
        <f>D44*(1+$B$12)</f>
        <v>1712027.5249051703</v>
      </c>
      <c r="F44" s="182">
        <f>E44*(1+$B$12)</f>
        <v>1763388.3506523254</v>
      </c>
      <c r="G44" s="182">
        <f>F44*(1+$B$12)</f>
        <v>1816290.0011718953</v>
      </c>
    </row>
    <row r="45" spans="1:7" ht="14.5">
      <c r="A45" s="192" t="s">
        <v>1534</v>
      </c>
      <c r="B45" s="198">
        <v>0</v>
      </c>
      <c r="C45" s="199">
        <v>0.4</v>
      </c>
      <c r="D45" s="199">
        <v>0.7</v>
      </c>
      <c r="E45" s="199">
        <v>1</v>
      </c>
      <c r="F45" s="199">
        <v>1</v>
      </c>
      <c r="G45" s="199">
        <v>1</v>
      </c>
    </row>
    <row r="46" spans="1:7">
      <c r="A46" t="s">
        <v>1535</v>
      </c>
      <c r="B46" s="190">
        <f>$B$5*$B$18*12*B45</f>
        <v>0</v>
      </c>
      <c r="C46" s="190">
        <f>$B$5*$B$18*12*C45</f>
        <v>71808</v>
      </c>
      <c r="D46" s="190">
        <f>$B$5*$B$18*12*D45</f>
        <v>125663.99999999999</v>
      </c>
      <c r="E46" s="190">
        <f>$B$5*$B$18*12*E45</f>
        <v>179520</v>
      </c>
      <c r="F46" s="190">
        <f>$B$5*$B$18*12*F45</f>
        <v>179520</v>
      </c>
      <c r="G46" s="190">
        <f>$B$5*$B$18*12*G45</f>
        <v>179520</v>
      </c>
    </row>
    <row r="47" spans="1:7">
      <c r="A47" s="189" t="s">
        <v>1467</v>
      </c>
      <c r="B47" s="185">
        <f>B44+B46</f>
        <v>1566747.71</v>
      </c>
      <c r="C47" s="185">
        <f>C44+C46</f>
        <v>1685558.1413</v>
      </c>
      <c r="D47" s="185">
        <f>D44+D46</f>
        <v>1787826.6455390002</v>
      </c>
      <c r="E47" s="185">
        <f>E44+E46</f>
        <v>1891547.5249051703</v>
      </c>
      <c r="F47" s="185">
        <f>F44+F46</f>
        <v>1942908.3506523254</v>
      </c>
      <c r="G47" s="185">
        <f>G44+G46</f>
        <v>1995810.0011718953</v>
      </c>
    </row>
    <row r="49" spans="1:7">
      <c r="A49" s="189" t="s">
        <v>1490</v>
      </c>
    </row>
    <row r="50" spans="1:7">
      <c r="A50" t="s">
        <v>1491</v>
      </c>
      <c r="B50" s="182">
        <f>B29-'Oak T-12'!N48</f>
        <v>776502.55999999994</v>
      </c>
      <c r="C50" s="182">
        <f>B50*(1+$B$14)</f>
        <v>799797.63679999998</v>
      </c>
      <c r="D50" s="182">
        <f>C50*(1+$B$14)</f>
        <v>823791.56590399996</v>
      </c>
      <c r="E50" s="182">
        <f>D50*(1+$B$14)</f>
        <v>848505.31288112001</v>
      </c>
      <c r="F50" s="182">
        <f>E50*(1+$B$14)</f>
        <v>873960.47226755368</v>
      </c>
      <c r="G50" s="182">
        <f>F50*(1+$B$14)</f>
        <v>900179.28643558035</v>
      </c>
    </row>
    <row r="51" spans="1:7">
      <c r="A51" s="189" t="s">
        <v>1492</v>
      </c>
      <c r="B51" s="182">
        <f>B47*$B$16</f>
        <v>54836.169850000006</v>
      </c>
      <c r="C51" s="182">
        <f>C47*$B$16</f>
        <v>58994.534945500003</v>
      </c>
      <c r="D51" s="182">
        <f>D47*$B$16</f>
        <v>62573.932593865014</v>
      </c>
      <c r="E51" s="182">
        <f>E47*$B$16</f>
        <v>66204.163371680974</v>
      </c>
      <c r="F51" s="182">
        <f>F47*$B$16</f>
        <v>68001.792272831401</v>
      </c>
      <c r="G51" s="182">
        <f>G47*$B$16</f>
        <v>69853.35004101634</v>
      </c>
    </row>
    <row r="52" spans="1:7">
      <c r="A52" t="s">
        <v>1493</v>
      </c>
      <c r="B52" s="182">
        <f>$B$5*$B$17</f>
        <v>34000</v>
      </c>
      <c r="C52" s="182">
        <f>$B$5*$B$17</f>
        <v>34000</v>
      </c>
      <c r="D52" s="182">
        <f>$B$5*$B$17</f>
        <v>34000</v>
      </c>
      <c r="E52" s="182">
        <f>$B$5*$B$17</f>
        <v>34000</v>
      </c>
      <c r="F52" s="182">
        <f>$B$5*$B$17</f>
        <v>34000</v>
      </c>
      <c r="G52" s="182">
        <f>$B$5*$B$17</f>
        <v>34000</v>
      </c>
    </row>
    <row r="53" spans="1:7">
      <c r="A53" s="189" t="s">
        <v>436</v>
      </c>
      <c r="B53" s="185">
        <f>SUM(B50:B52)</f>
        <v>865338.72985</v>
      </c>
      <c r="C53" s="185">
        <f>SUM(C50:C52)</f>
        <v>892792.17174549995</v>
      </c>
      <c r="D53" s="185">
        <f>SUM(D50:D52)</f>
        <v>920365.49849786493</v>
      </c>
      <c r="E53" s="185">
        <f>SUM(E50:E52)</f>
        <v>948709.47625280102</v>
      </c>
      <c r="F53" s="185">
        <f>SUM(F50:F52)</f>
        <v>975962.26454038511</v>
      </c>
      <c r="G53" s="185">
        <f>SUM(G50:G52)</f>
        <v>1004032.6364765967</v>
      </c>
    </row>
    <row r="54" spans="1:7">
      <c r="A54" s="195" t="s">
        <v>1494</v>
      </c>
      <c r="B54" s="200">
        <f>B47-B53</f>
        <v>701408.98014999996</v>
      </c>
      <c r="C54" s="200">
        <f>C47-C53</f>
        <v>792765.96955450007</v>
      </c>
      <c r="D54" s="200">
        <f>D47-D53</f>
        <v>867461.14704113523</v>
      </c>
      <c r="E54" s="200">
        <f>E47-E53</f>
        <v>942838.0486523693</v>
      </c>
      <c r="F54" s="200">
        <f>F47-F53</f>
        <v>966946.08611194033</v>
      </c>
      <c r="G54" s="200">
        <f>G47-G53</f>
        <v>991777.3646952986</v>
      </c>
    </row>
    <row r="55" spans="1:7">
      <c r="A55" t="s">
        <v>1495</v>
      </c>
      <c r="B55" s="201">
        <f>B54/B47</f>
        <v>0.44768470103588021</v>
      </c>
      <c r="G55" s="201">
        <f>G54/G47</f>
        <v>0.49692974988247829</v>
      </c>
    </row>
    <row r="59" spans="1:7">
      <c r="A59" s="176" t="s">
        <v>1496</v>
      </c>
      <c r="B59" s="177"/>
      <c r="C59" s="177"/>
      <c r="D59" s="177"/>
      <c r="E59" s="177"/>
      <c r="F59" s="177"/>
      <c r="G59" s="177"/>
    </row>
    <row r="60" spans="1:7">
      <c r="A60" t="s">
        <v>1497</v>
      </c>
      <c r="C60" s="182">
        <f>$E$6</f>
        <v>5075000</v>
      </c>
      <c r="D60" s="182">
        <f>C63</f>
        <v>5025918.478479228</v>
      </c>
      <c r="E60" s="182">
        <f>D63</f>
        <v>4973155.8428443978</v>
      </c>
      <c r="F60" s="182">
        <f>E63</f>
        <v>4916436.0095369555</v>
      </c>
      <c r="G60" s="182">
        <f>F63</f>
        <v>4855462.1887314552</v>
      </c>
    </row>
    <row r="61" spans="1:7">
      <c r="A61" t="s">
        <v>1498</v>
      </c>
      <c r="C61" s="182">
        <f>C60*$E$7</f>
        <v>380625</v>
      </c>
      <c r="D61" s="182">
        <f>D60*$E$7</f>
        <v>376943.88588594209</v>
      </c>
      <c r="E61" s="182">
        <f>E60*$E$7</f>
        <v>372986.68821332982</v>
      </c>
      <c r="F61" s="182">
        <f>F60*$E$7</f>
        <v>368732.70071527164</v>
      </c>
      <c r="G61" s="182">
        <f>G60*$E$7</f>
        <v>364159.66415485914</v>
      </c>
    </row>
    <row r="62" spans="1:7">
      <c r="A62" t="s">
        <v>1499</v>
      </c>
      <c r="C62" s="182">
        <f>-PMT($E$7,$E$8,$E$6)-C61</f>
        <v>49081.521520771959</v>
      </c>
      <c r="D62" s="182">
        <f>-PMT($E$7,$E$8,$E$6)-D61</f>
        <v>52762.635634829872</v>
      </c>
      <c r="E62" s="182">
        <f>-PMT($E$7,$E$8,$E$6)-E61</f>
        <v>56719.833307442139</v>
      </c>
      <c r="F62" s="182">
        <f>-PMT($E$7,$E$8,$E$6)-F61</f>
        <v>60973.82080550032</v>
      </c>
      <c r="G62" s="182">
        <f>-PMT($E$7,$E$8,$E$6)-G61</f>
        <v>65546.857365912816</v>
      </c>
    </row>
    <row r="63" spans="1:7">
      <c r="A63" t="s">
        <v>1500</v>
      </c>
      <c r="C63" s="182">
        <f>C60-C62</f>
        <v>5025918.478479228</v>
      </c>
      <c r="D63" s="182">
        <f>D60-D62</f>
        <v>4973155.8428443978</v>
      </c>
      <c r="E63" s="182">
        <f>E60-E62</f>
        <v>4916436.0095369555</v>
      </c>
      <c r="F63" s="182">
        <f>F60-F62</f>
        <v>4855462.1887314552</v>
      </c>
      <c r="G63" s="182">
        <f>G60-G62</f>
        <v>4789915.3313655425</v>
      </c>
    </row>
    <row r="64" spans="1:7" ht="14.5">
      <c r="A64" s="192" t="s">
        <v>1501</v>
      </c>
      <c r="C64" s="194">
        <f>C61+C62</f>
        <v>429706.52152077196</v>
      </c>
      <c r="D64" s="194">
        <f>D61+D62</f>
        <v>429706.52152077196</v>
      </c>
      <c r="E64" s="194">
        <f>E61+E62</f>
        <v>429706.52152077196</v>
      </c>
      <c r="F64" s="194">
        <f>F61+F62</f>
        <v>429706.52152077196</v>
      </c>
      <c r="G64" s="194">
        <f>G61+G62</f>
        <v>429706.52152077196</v>
      </c>
    </row>
    <row r="66" spans="1:7">
      <c r="A66" t="s">
        <v>785</v>
      </c>
      <c r="C66" s="182">
        <f>C54</f>
        <v>792765.96955450007</v>
      </c>
      <c r="D66" s="182">
        <f>D54</f>
        <v>867461.14704113523</v>
      </c>
      <c r="E66" s="182">
        <f>E54</f>
        <v>942838.0486523693</v>
      </c>
      <c r="F66" s="182">
        <f>F54</f>
        <v>966946.08611194033</v>
      </c>
      <c r="G66" s="182">
        <f>G54</f>
        <v>991777.3646952986</v>
      </c>
    </row>
    <row r="67" spans="1:7">
      <c r="A67" t="s">
        <v>1502</v>
      </c>
      <c r="C67" s="190">
        <f>-C64</f>
        <v>-429706.52152077196</v>
      </c>
      <c r="D67" s="190">
        <f>-D64</f>
        <v>-429706.52152077196</v>
      </c>
      <c r="E67" s="190">
        <f>-E64</f>
        <v>-429706.52152077196</v>
      </c>
      <c r="F67" s="190">
        <f>-F64</f>
        <v>-429706.52152077196</v>
      </c>
      <c r="G67" s="190">
        <f>-G64</f>
        <v>-429706.52152077196</v>
      </c>
    </row>
    <row r="68" spans="1:7">
      <c r="A68" s="189" t="s">
        <v>1503</v>
      </c>
      <c r="C68" s="185">
        <f>C66-C64</f>
        <v>363059.44803372811</v>
      </c>
      <c r="D68" s="185">
        <f>D66-D64</f>
        <v>437754.62552036328</v>
      </c>
      <c r="E68" s="185">
        <f>E66-E64</f>
        <v>513131.52713159734</v>
      </c>
      <c r="F68" s="185">
        <f>F66-F64</f>
        <v>537239.56459116843</v>
      </c>
      <c r="G68" s="185">
        <f>G66-G64</f>
        <v>562070.8431745267</v>
      </c>
    </row>
    <row r="70" spans="1:7">
      <c r="A70" t="s">
        <v>1537</v>
      </c>
      <c r="G70" s="185">
        <f>G54*(1+$B$12)/$E$11</f>
        <v>11043574.979850354</v>
      </c>
    </row>
    <row r="71" spans="1:7">
      <c r="A71" t="s">
        <v>1505</v>
      </c>
      <c r="G71" s="190">
        <f>-G70*$E$12</f>
        <v>-220871.49959700709</v>
      </c>
    </row>
    <row r="72" spans="1:7">
      <c r="A72" t="s">
        <v>1506</v>
      </c>
      <c r="G72" s="190">
        <f>-G63</f>
        <v>-4789915.3313655425</v>
      </c>
    </row>
    <row r="73" spans="1:7">
      <c r="A73" s="189" t="s">
        <v>1507</v>
      </c>
      <c r="G73" s="185">
        <f>G70+G71+G72</f>
        <v>6032788.1488878038</v>
      </c>
    </row>
    <row r="75" spans="1:7">
      <c r="A75" s="202" t="s">
        <v>1508</v>
      </c>
      <c r="B75" s="203">
        <f>-E13</f>
        <v>-4156000</v>
      </c>
      <c r="C75" s="203">
        <f>C68</f>
        <v>363059.44803372811</v>
      </c>
      <c r="D75" s="203">
        <f>D68</f>
        <v>437754.62552036328</v>
      </c>
      <c r="E75" s="203">
        <f>E68</f>
        <v>513131.52713159734</v>
      </c>
      <c r="F75" s="203">
        <f>F68</f>
        <v>537239.56459116843</v>
      </c>
      <c r="G75" s="203">
        <f>G68+G73</f>
        <v>6594858.9920623302</v>
      </c>
    </row>
    <row r="77" spans="1:7">
      <c r="A77" s="207" t="s">
        <v>1538</v>
      </c>
      <c r="C77" s="208" t="s">
        <v>1511</v>
      </c>
      <c r="E77" s="208" t="s">
        <v>1512</v>
      </c>
    </row>
    <row r="78" spans="1:7">
      <c r="A78" t="s">
        <v>1513</v>
      </c>
      <c r="C78" s="209">
        <f>IRR(B75:G75)</f>
        <v>0.17584601542213529</v>
      </c>
      <c r="E78" s="210">
        <v>0.42759999999999998</v>
      </c>
    </row>
    <row r="79" spans="1:7">
      <c r="A79" t="s">
        <v>1514</v>
      </c>
      <c r="C79" s="211">
        <f>SUM(C75:G75)/-B75</f>
        <v>2.0322531658660221</v>
      </c>
      <c r="E79" s="212">
        <v>3</v>
      </c>
    </row>
    <row r="80" spans="1:7">
      <c r="A80" t="s">
        <v>1515</v>
      </c>
      <c r="C80" s="209">
        <f>AVERAGE(C68:G68)/-B75</f>
        <v>0.11613359039708294</v>
      </c>
      <c r="E80" s="210">
        <v>0.1186</v>
      </c>
    </row>
    <row r="81" spans="1:7">
      <c r="A81" t="s">
        <v>1516</v>
      </c>
      <c r="C81" s="209">
        <f>IRR(B82:G82)</f>
        <v>0.12445983092266166</v>
      </c>
      <c r="E81" s="213" t="s">
        <v>1517</v>
      </c>
    </row>
    <row r="82" spans="1:7" ht="14.5">
      <c r="A82" s="204" t="s">
        <v>1509</v>
      </c>
      <c r="B82" s="205">
        <f>-(B8+B19+B8*E9)</f>
        <v>-9231000</v>
      </c>
      <c r="C82" s="206">
        <f>C54</f>
        <v>792765.96955450007</v>
      </c>
      <c r="D82" s="206">
        <f>D54</f>
        <v>867461.14704113523</v>
      </c>
      <c r="E82" s="206">
        <f>E54</f>
        <v>942838.0486523693</v>
      </c>
      <c r="F82" s="206">
        <f>F54</f>
        <v>966946.08611194033</v>
      </c>
      <c r="G82" s="206">
        <f>G54+G70*(1-$E$12)</f>
        <v>11814480.844948646</v>
      </c>
    </row>
    <row r="85" spans="1:7">
      <c r="A85" s="176" t="s">
        <v>1539</v>
      </c>
      <c r="B85" s="177"/>
      <c r="C85" s="177"/>
      <c r="D85" s="177"/>
      <c r="E85" s="177"/>
      <c r="F85" s="177"/>
    </row>
    <row r="86" spans="1:7">
      <c r="A86" s="214" t="s">
        <v>1540</v>
      </c>
      <c r="B86" s="216">
        <v>0.02</v>
      </c>
      <c r="C86" s="216">
        <v>2.5000000000000001E-2</v>
      </c>
      <c r="D86" s="216">
        <v>0.03</v>
      </c>
      <c r="E86" s="216">
        <v>3.5000000000000003E-2</v>
      </c>
      <c r="F86" s="216">
        <v>0.04</v>
      </c>
    </row>
    <row r="87" spans="1:7">
      <c r="A87" s="186">
        <v>8.2500000000000004E-2</v>
      </c>
      <c r="B87" s="221">
        <f>_xlfn.LET(_xlpm.growth,B$86,_xlpm.xcap,$A87,_xlpm.egibase,$B$24,_xlpm.infl,$B$14,_xlpm.mgmt,$B$16,_xlpm.opexb,$B$50,_xlpm.resv,$B$5*$B$17,_xlpm.dsvc,-PMT($E$7,$E$8,$E$6),_xlpm.equity,$E$13,_xlpm.payoff,$G$63,_xlpm.sellc,$E$12,_xlpm.inca,_xlpm.egibase*(1+_xlpm.growth)^1+$C$46,_xlpm.incb,_xlpm.egibase*(1+_xlpm.growth)^2+$D$46,_xlpm.incc,_xlpm.egibase*(1+_xlpm.growth)^3+$E$46,_xlpm.incd,_xlpm.egibase*(1+_xlpm.growth)^4+$F$46,_xlpm.ince,_xlpm.egibase*(1+_xlpm.growth)^5+$G$46,_xlpm.noia,_xlpm.inca-(_xlpm.opexb*(1+_xlpm.infl)^1+_xlpm.mgmt*_xlpm.inca+_xlpm.resv),_xlpm.noib,_xlpm.incb-(_xlpm.opexb*(1+_xlpm.infl)^2+_xlpm.mgmt*_xlpm.incb+_xlpm.resv),_xlpm.noic,_xlpm.incc-(_xlpm.opexb*(1+_xlpm.infl)^3+_xlpm.mgmt*_xlpm.incc+_xlpm.resv),_xlpm.noid,_xlpm.incd-(_xlpm.opexb*(1+_xlpm.infl)^4+_xlpm.mgmt*_xlpm.incd+_xlpm.resv),_xlpm.noie,_xlpm.ince-(_xlpm.opexb*(1+_xlpm.infl)^5+_xlpm.mgmt*_xlpm.ince+_xlpm.resv),_xlpm.exitv,_xlpm.noie*(1+_xlpm.growth)/_xlpm.xcap,_xlpm.netsale,_xlpm.exitv*(1-_xlpm.sellc)-_xlpm.payoff,IRR(_xlfn.HSTACK(-_xlpm.equity,_xlpm.noia-_xlpm.dsvc,_xlpm.noib-_xlpm.dsvc,_xlpm.noic-_xlpm.dsvc,_xlpm.noid-_xlpm.dsvc,_xlpm.noie-_xlpm.dsvc+_xlpm.netsale)))</f>
        <v>0.17224843445809768</v>
      </c>
      <c r="C87" s="217">
        <f t="shared" ref="C87:F91" si="0">_xlfn.LET(_xlpm.growth,C$86,_xlpm.xcap,$A87,_xlpm.egibase,$B$24,_xlpm.infl,$B$14,_xlpm.mgmt,$B$16,_xlpm.opexb,$B$50,_xlpm.resv,$B$5*$B$17,_xlpm.dsvc,-PMT($E$7,$E$8,$E$6),_xlpm.equity,$E$13,_xlpm.payoff,$G$63,_xlpm.sellc,$E$12,_xlpm.inca,_xlpm.egibase*(1+_xlpm.growth)^1+$C$46,_xlpm.incb,_xlpm.egibase*(1+_xlpm.growth)^2+$D$46,_xlpm.incc,_xlpm.egibase*(1+_xlpm.growth)^3+$E$46,_xlpm.incd,_xlpm.egibase*(1+_xlpm.growth)^4+$F$46,_xlpm.ince,_xlpm.egibase*(1+_xlpm.growth)^5+$G$46,_xlpm.noia,_xlpm.inca-(_xlpm.opexb*(1+_xlpm.infl)^1+_xlpm.mgmt*_xlpm.inca+_xlpm.resv),_xlpm.noib,_xlpm.incb-(_xlpm.opexb*(1+_xlpm.infl)^2+_xlpm.mgmt*_xlpm.incb+_xlpm.resv),_xlpm.noic,_xlpm.incc-(_xlpm.opexb*(1+_xlpm.infl)^3+_xlpm.mgmt*_xlpm.incc+_xlpm.resv),_xlpm.noid,_xlpm.incd-(_xlpm.opexb*(1+_xlpm.infl)^4+_xlpm.mgmt*_xlpm.incd+_xlpm.resv),_xlpm.noie,_xlpm.ince-(_xlpm.opexb*(1+_xlpm.infl)^5+_xlpm.mgmt*_xlpm.ince+_xlpm.resv),_xlpm.exitv,_xlpm.noie*(1+_xlpm.growth)/_xlpm.xcap,_xlpm.netsale,_xlpm.exitv*(1-_xlpm.sellc)-_xlpm.payoff,IRR(_xlfn.HSTACK(-_xlpm.equity,_xlpm.noia-_xlpm.dsvc,_xlpm.noib-_xlpm.dsvc,_xlpm.noic-_xlpm.dsvc,_xlpm.noid-_xlpm.dsvc,_xlpm.noie-_xlpm.dsvc+_xlpm.netsale)))</f>
        <v>0.19256899534716121</v>
      </c>
      <c r="D87" s="217">
        <f t="shared" si="0"/>
        <v>0.2121398269960908</v>
      </c>
      <c r="E87" s="217">
        <f t="shared" si="0"/>
        <v>0.2310475295210368</v>
      </c>
      <c r="F87" s="224">
        <f t="shared" si="0"/>
        <v>0.24936448347000084</v>
      </c>
    </row>
    <row r="88" spans="1:7">
      <c r="A88" s="186">
        <v>8.7499999999999994E-2</v>
      </c>
      <c r="B88" s="222">
        <f t="shared" ref="B88:F91" si="1">_xlfn.LET(_xlpm.growth,B$86,_xlpm.xcap,$A88,_xlpm.egibase,$B$24,_xlpm.infl,$B$14,_xlpm.mgmt,$B$16,_xlpm.opexb,$B$50,_xlpm.resv,$B$5*$B$17,_xlpm.dsvc,-PMT($E$7,$E$8,$E$6),_xlpm.equity,$E$13,_xlpm.payoff,$G$63,_xlpm.sellc,$E$12,_xlpm.inca,_xlpm.egibase*(1+_xlpm.growth)^1+$C$46,_xlpm.incb,_xlpm.egibase*(1+_xlpm.growth)^2+$D$46,_xlpm.incc,_xlpm.egibase*(1+_xlpm.growth)^3+$E$46,_xlpm.incd,_xlpm.egibase*(1+_xlpm.growth)^4+$F$46,_xlpm.ince,_xlpm.egibase*(1+_xlpm.growth)^5+$G$46,_xlpm.noia,_xlpm.inca-(_xlpm.opexb*(1+_xlpm.infl)^1+_xlpm.mgmt*_xlpm.inca+_xlpm.resv),_xlpm.noib,_xlpm.incb-(_xlpm.opexb*(1+_xlpm.infl)^2+_xlpm.mgmt*_xlpm.incb+_xlpm.resv),_xlpm.noic,_xlpm.incc-(_xlpm.opexb*(1+_xlpm.infl)^3+_xlpm.mgmt*_xlpm.incc+_xlpm.resv),_xlpm.noid,_xlpm.incd-(_xlpm.opexb*(1+_xlpm.infl)^4+_xlpm.mgmt*_xlpm.incd+_xlpm.resv),_xlpm.noie,_xlpm.ince-(_xlpm.opexb*(1+_xlpm.infl)^5+_xlpm.mgmt*_xlpm.ince+_xlpm.resv),_xlpm.exitv,_xlpm.noie*(1+_xlpm.growth)/_xlpm.xcap,_xlpm.netsale,_xlpm.exitv*(1-_xlpm.sellc)-_xlpm.payoff,IRR(_xlfn.HSTACK(-_xlpm.equity,_xlpm.noia-_xlpm.dsvc,_xlpm.noib-_xlpm.dsvc,_xlpm.noic-_xlpm.dsvc,_xlpm.noid-_xlpm.dsvc,_xlpm.noie-_xlpm.dsvc+_xlpm.netsale)))</f>
        <v>0.15294372399237477</v>
      </c>
      <c r="C88" s="218">
        <f t="shared" si="0"/>
        <v>0.1736530565299661</v>
      </c>
      <c r="D88" s="218">
        <f t="shared" si="0"/>
        <v>0.19355271414946151</v>
      </c>
      <c r="E88" s="218">
        <f t="shared" si="0"/>
        <v>0.21273991588619978</v>
      </c>
      <c r="F88" s="225">
        <f t="shared" si="0"/>
        <v>0.23129528670067701</v>
      </c>
    </row>
    <row r="89" spans="1:7">
      <c r="A89" s="186">
        <v>9.2499999999999999E-2</v>
      </c>
      <c r="B89" s="222">
        <f t="shared" si="1"/>
        <v>0.13445877965269548</v>
      </c>
      <c r="C89" s="218">
        <f t="shared" si="0"/>
        <v>0.15559017271722619</v>
      </c>
      <c r="D89" s="219">
        <f t="shared" si="0"/>
        <v>0.17584601542213529</v>
      </c>
      <c r="E89" s="218">
        <f t="shared" si="0"/>
        <v>0.19533565591248903</v>
      </c>
      <c r="F89" s="225">
        <f t="shared" si="0"/>
        <v>0.21414903319508438</v>
      </c>
    </row>
    <row r="90" spans="1:7">
      <c r="A90" s="186">
        <v>9.7500000000000003E-2</v>
      </c>
      <c r="B90" s="222">
        <f t="shared" si="1"/>
        <v>0.11667546287621855</v>
      </c>
      <c r="C90" s="218">
        <f t="shared" si="0"/>
        <v>0.13826388877953555</v>
      </c>
      <c r="D90" s="218">
        <f t="shared" si="0"/>
        <v>0.15890418732454115</v>
      </c>
      <c r="E90" s="218">
        <f t="shared" si="0"/>
        <v>0.1787196045523729</v>
      </c>
      <c r="F90" s="225">
        <f t="shared" si="0"/>
        <v>0.19781062805652017</v>
      </c>
    </row>
    <row r="91" spans="1:7">
      <c r="A91" s="186">
        <v>0.10249999999999999</v>
      </c>
      <c r="B91" s="223">
        <f t="shared" si="1"/>
        <v>9.9491975545235034E-2</v>
      </c>
      <c r="C91" s="220">
        <f t="shared" si="0"/>
        <v>0.12157458680022715</v>
      </c>
      <c r="D91" s="220">
        <f t="shared" si="0"/>
        <v>0.14262888512177585</v>
      </c>
      <c r="E91" s="220">
        <f t="shared" si="0"/>
        <v>0.16279409610621243</v>
      </c>
      <c r="F91" s="226">
        <f t="shared" si="0"/>
        <v>0.18218268642789193</v>
      </c>
    </row>
    <row r="93" spans="1:7">
      <c r="A93" s="227" t="s">
        <v>1520</v>
      </c>
      <c r="B93" s="228"/>
      <c r="C93" s="228"/>
      <c r="D93" s="228"/>
      <c r="E93" s="228"/>
      <c r="F93" s="228"/>
    </row>
    <row r="94" spans="1:7">
      <c r="A94" s="229" t="s">
        <v>1541</v>
      </c>
    </row>
    <row r="95" spans="1:7">
      <c r="A95" s="229" t="s">
        <v>1542</v>
      </c>
    </row>
    <row r="96" spans="1:7">
      <c r="A96" s="229" t="s">
        <v>1543</v>
      </c>
    </row>
    <row r="97" spans="1:1">
      <c r="A97" s="229" t="s">
        <v>1544</v>
      </c>
    </row>
    <row r="98" spans="1:1">
      <c r="A98" s="229" t="s">
        <v>1545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189F1-ED72-4C72-B40D-C9DA7BFAD6D1}">
  <dimension ref="A1:F98"/>
  <sheetViews>
    <sheetView workbookViewId="0">
      <pane ySplit="2" topLeftCell="A78" activePane="bottomLeft" state="frozen"/>
      <selection pane="bottomLeft" activeCell="A7" sqref="A7"/>
    </sheetView>
  </sheetViews>
  <sheetFormatPr defaultRowHeight="14"/>
  <cols>
    <col min="1" max="1" width="41.6640625" customWidth="1"/>
    <col min="2" max="6" width="14.6640625" customWidth="1"/>
  </cols>
  <sheetData>
    <row r="1" spans="1:5" ht="18">
      <c r="A1" s="174" t="s">
        <v>1599</v>
      </c>
    </row>
    <row r="2" spans="1:5">
      <c r="A2" s="175" t="s">
        <v>1546</v>
      </c>
    </row>
    <row r="4" spans="1:5">
      <c r="A4" s="176" t="s">
        <v>1438</v>
      </c>
      <c r="B4" s="177"/>
      <c r="D4" s="176" t="s">
        <v>1439</v>
      </c>
      <c r="E4" s="177"/>
    </row>
    <row r="5" spans="1:5">
      <c r="A5" t="s">
        <v>1547</v>
      </c>
      <c r="B5" s="178">
        <v>336</v>
      </c>
      <c r="D5" t="s">
        <v>1454</v>
      </c>
      <c r="E5" s="183">
        <v>0.65</v>
      </c>
    </row>
    <row r="6" spans="1:5">
      <c r="A6" t="s">
        <v>1440</v>
      </c>
      <c r="B6" s="178">
        <v>114</v>
      </c>
      <c r="D6" t="s">
        <v>1455</v>
      </c>
      <c r="E6" s="182">
        <f>B8*E5</f>
        <v>7637500</v>
      </c>
    </row>
    <row r="7" spans="1:5">
      <c r="A7" t="s">
        <v>1441</v>
      </c>
      <c r="B7" s="179">
        <v>2006</v>
      </c>
      <c r="D7" t="s">
        <v>1456</v>
      </c>
      <c r="E7" s="184">
        <v>7.0000000000000007E-2</v>
      </c>
    </row>
    <row r="8" spans="1:5">
      <c r="A8" t="s">
        <v>1443</v>
      </c>
      <c r="B8" s="181">
        <v>11750000</v>
      </c>
      <c r="D8" t="s">
        <v>1457</v>
      </c>
      <c r="E8" s="179">
        <v>30</v>
      </c>
    </row>
    <row r="9" spans="1:5">
      <c r="A9" t="s">
        <v>1548</v>
      </c>
      <c r="B9" s="182">
        <f>B8/B5</f>
        <v>34970.238095238092</v>
      </c>
      <c r="D9" t="s">
        <v>1458</v>
      </c>
      <c r="E9" s="183">
        <v>0.02</v>
      </c>
    </row>
    <row r="10" spans="1:5">
      <c r="A10" t="s">
        <v>1445</v>
      </c>
      <c r="B10" s="179">
        <v>4</v>
      </c>
      <c r="D10" t="s">
        <v>1553</v>
      </c>
      <c r="E10" s="186">
        <f>B36/B8</f>
        <v>6.0234550536170238E-2</v>
      </c>
    </row>
    <row r="11" spans="1:5">
      <c r="D11" t="s">
        <v>1460</v>
      </c>
      <c r="E11" s="184">
        <v>8.2500000000000004E-2</v>
      </c>
    </row>
    <row r="12" spans="1:5">
      <c r="A12" t="s">
        <v>1549</v>
      </c>
      <c r="B12" s="181">
        <v>540</v>
      </c>
      <c r="D12" t="s">
        <v>1461</v>
      </c>
      <c r="E12" s="183">
        <v>0.02</v>
      </c>
    </row>
    <row r="13" spans="1:5">
      <c r="A13" t="s">
        <v>1446</v>
      </c>
      <c r="B13" s="183">
        <v>0.03</v>
      </c>
      <c r="D13" t="s">
        <v>1462</v>
      </c>
      <c r="E13" s="185">
        <f>B8+B19+B8*E9-E6</f>
        <v>4597500</v>
      </c>
    </row>
    <row r="14" spans="1:5">
      <c r="A14" t="s">
        <v>1448</v>
      </c>
      <c r="B14" s="183">
        <v>0.03</v>
      </c>
    </row>
    <row r="15" spans="1:5">
      <c r="A15" t="s">
        <v>1447</v>
      </c>
      <c r="B15" s="183">
        <v>0.03</v>
      </c>
    </row>
    <row r="16" spans="1:5">
      <c r="A16" t="s">
        <v>1450</v>
      </c>
      <c r="B16" s="183">
        <v>0.04</v>
      </c>
    </row>
    <row r="17" spans="1:2">
      <c r="A17" t="s">
        <v>1550</v>
      </c>
      <c r="B17" s="181">
        <v>150</v>
      </c>
    </row>
    <row r="18" spans="1:2">
      <c r="A18" t="s">
        <v>1551</v>
      </c>
      <c r="B18" s="184">
        <v>0.02</v>
      </c>
    </row>
    <row r="19" spans="1:2">
      <c r="A19" t="s">
        <v>1552</v>
      </c>
      <c r="B19" s="181">
        <v>250000</v>
      </c>
    </row>
    <row r="21" spans="1:2">
      <c r="A21" s="176" t="s">
        <v>1463</v>
      </c>
      <c r="B21" s="187" t="s">
        <v>1554</v>
      </c>
    </row>
    <row r="22" spans="1:2">
      <c r="A22" t="s">
        <v>1555</v>
      </c>
      <c r="B22" s="188">
        <f>'WTAMSH T-12'!O7</f>
        <v>1329424.99</v>
      </c>
    </row>
    <row r="23" spans="1:2">
      <c r="A23" t="s">
        <v>1556</v>
      </c>
      <c r="B23" s="188">
        <f>'WTAMSH T-12'!O34-'WTAMSH T-12'!O7</f>
        <v>204850.79000000027</v>
      </c>
    </row>
    <row r="24" spans="1:2">
      <c r="A24" s="189" t="s">
        <v>1467</v>
      </c>
      <c r="B24" s="191">
        <f>B22+B23</f>
        <v>1534275.7800000003</v>
      </c>
    </row>
    <row r="25" spans="1:2">
      <c r="A25" t="s">
        <v>1557</v>
      </c>
      <c r="B25" s="188">
        <f>'WTAMSH T-12'!O41</f>
        <v>185595.96</v>
      </c>
    </row>
    <row r="26" spans="1:2">
      <c r="A26" t="s">
        <v>836</v>
      </c>
      <c r="B26" s="188">
        <f>'WTAMSH T-12'!O47</f>
        <v>107896.72999999998</v>
      </c>
    </row>
    <row r="27" spans="1:2">
      <c r="A27" t="s">
        <v>1558</v>
      </c>
      <c r="B27" s="188">
        <f>'WTAMSH T-12'!O58+'WTAMSH T-12'!O63+'WTAMSH T-12'!O51</f>
        <v>196648.14</v>
      </c>
    </row>
    <row r="28" spans="1:2">
      <c r="A28" t="s">
        <v>1559</v>
      </c>
      <c r="B28" s="188">
        <f>'WTAMSH T-12'!O73</f>
        <v>11768.050000000001</v>
      </c>
    </row>
    <row r="29" spans="1:2">
      <c r="A29" t="s">
        <v>1471</v>
      </c>
      <c r="B29" s="188">
        <f>'WTAMSH T-12'!O105</f>
        <v>54009.71</v>
      </c>
    </row>
    <row r="30" spans="1:2">
      <c r="A30" t="s">
        <v>1560</v>
      </c>
      <c r="B30" s="188">
        <f>'WTAMSH T-12'!O92+'WTAMSH T-12'!O101+'WTAMSH T-12'!O77</f>
        <v>19201.190000000006</v>
      </c>
    </row>
    <row r="31" spans="1:2">
      <c r="A31" t="s">
        <v>1561</v>
      </c>
      <c r="B31" s="188">
        <f>'WTAMSH T-12'!O138</f>
        <v>139629</v>
      </c>
    </row>
    <row r="32" spans="1:2">
      <c r="A32" s="189" t="s">
        <v>1562</v>
      </c>
      <c r="B32" s="191">
        <f>SUM(B25:B31)</f>
        <v>714748.78</v>
      </c>
    </row>
    <row r="33" spans="1:6">
      <c r="A33" s="189" t="s">
        <v>1563</v>
      </c>
      <c r="B33" s="191">
        <f>B24-B32</f>
        <v>819527.00000000023</v>
      </c>
    </row>
    <row r="34" spans="1:6" ht="14.5">
      <c r="A34" s="192" t="s">
        <v>1564</v>
      </c>
      <c r="B34" s="193">
        <f>-B24*B16</f>
        <v>-61371.031200000012</v>
      </c>
    </row>
    <row r="35" spans="1:6" ht="14.5">
      <c r="A35" s="192" t="s">
        <v>1565</v>
      </c>
      <c r="B35" s="193">
        <f>-B5*B17</f>
        <v>-50400</v>
      </c>
    </row>
    <row r="36" spans="1:6">
      <c r="A36" s="195" t="s">
        <v>1479</v>
      </c>
      <c r="B36" s="196">
        <f>B33+B34+B35</f>
        <v>707755.96880000026</v>
      </c>
    </row>
    <row r="37" spans="1:6">
      <c r="A37" s="189" t="s">
        <v>1553</v>
      </c>
      <c r="B37" s="186">
        <f>B36/B8</f>
        <v>6.0234550536170238E-2</v>
      </c>
    </row>
    <row r="38" spans="1:6">
      <c r="A38" s="231" t="s">
        <v>1566</v>
      </c>
    </row>
    <row r="42" spans="1:6">
      <c r="A42" s="176" t="s">
        <v>1567</v>
      </c>
      <c r="B42" s="177"/>
      <c r="C42" s="177"/>
      <c r="D42" s="177"/>
      <c r="E42" s="177"/>
      <c r="F42" s="177"/>
    </row>
    <row r="43" spans="1:6">
      <c r="B43" s="197" t="s">
        <v>1482</v>
      </c>
      <c r="C43" s="197" t="s">
        <v>1483</v>
      </c>
      <c r="D43" s="197" t="s">
        <v>1484</v>
      </c>
      <c r="E43" s="197" t="s">
        <v>1485</v>
      </c>
      <c r="F43" s="197" t="s">
        <v>1486</v>
      </c>
    </row>
    <row r="44" spans="1:6">
      <c r="A44" t="s">
        <v>1568</v>
      </c>
      <c r="B44" s="182">
        <f>B22/B45</f>
        <v>2417136.3454545452</v>
      </c>
      <c r="C44" s="182">
        <f>$B$5*$B$12*12</f>
        <v>2177280</v>
      </c>
      <c r="D44" s="182">
        <f>C44*(1+$B$13)</f>
        <v>2242598.4</v>
      </c>
      <c r="E44" s="182">
        <f>D44*(1+$B$13)</f>
        <v>2309876.352</v>
      </c>
      <c r="F44" s="182">
        <f>E44*(1+$B$13)</f>
        <v>2379172.6425600001</v>
      </c>
    </row>
    <row r="45" spans="1:6" ht="14.5">
      <c r="A45" s="192" t="s">
        <v>1569</v>
      </c>
      <c r="B45" s="198">
        <v>0.55000000000000004</v>
      </c>
      <c r="C45" s="199">
        <v>0.75</v>
      </c>
      <c r="D45" s="199">
        <v>0.82</v>
      </c>
      <c r="E45" s="199">
        <v>0.86</v>
      </c>
      <c r="F45" s="199">
        <v>0.88</v>
      </c>
    </row>
    <row r="46" spans="1:6">
      <c r="A46" t="s">
        <v>1570</v>
      </c>
      <c r="B46" s="182">
        <f>B44*B45</f>
        <v>1329424.99</v>
      </c>
      <c r="C46" s="182">
        <f>C44*C45</f>
        <v>1632960</v>
      </c>
      <c r="D46" s="182">
        <f>D44*D45</f>
        <v>1838930.6879999998</v>
      </c>
      <c r="E46" s="182">
        <f>E44*E45</f>
        <v>1986493.6627199999</v>
      </c>
      <c r="F46" s="182">
        <f>F44*F45</f>
        <v>2093671.9254528</v>
      </c>
    </row>
    <row r="47" spans="1:6">
      <c r="A47" t="s">
        <v>1571</v>
      </c>
      <c r="B47" s="182">
        <f>B23</f>
        <v>204850.79000000027</v>
      </c>
      <c r="C47" s="182">
        <f>B47*(1+$B$15)</f>
        <v>210996.31370000029</v>
      </c>
      <c r="D47" s="182">
        <f>C47*(1+$B$15)</f>
        <v>217326.2031110003</v>
      </c>
      <c r="E47" s="182">
        <f>D47*(1+$B$15)</f>
        <v>223845.98920433031</v>
      </c>
      <c r="F47" s="182">
        <f>E47*(1+$B$15)</f>
        <v>230561.36888046021</v>
      </c>
    </row>
    <row r="48" spans="1:6">
      <c r="A48" s="189" t="s">
        <v>1467</v>
      </c>
      <c r="B48" s="185">
        <f>B46+B47</f>
        <v>1534275.7800000003</v>
      </c>
      <c r="C48" s="185">
        <f>C46+C47</f>
        <v>1843956.3137000003</v>
      </c>
      <c r="D48" s="185">
        <f>D46+D47</f>
        <v>2056256.8911110002</v>
      </c>
      <c r="E48" s="185">
        <f>E46+E47</f>
        <v>2210339.6519243303</v>
      </c>
      <c r="F48" s="185">
        <f>F46+F47</f>
        <v>2324233.29433326</v>
      </c>
    </row>
    <row r="49" spans="1:6">
      <c r="A49" s="189" t="s">
        <v>1490</v>
      </c>
    </row>
    <row r="50" spans="1:6">
      <c r="A50" t="s">
        <v>1572</v>
      </c>
      <c r="B50" s="182">
        <f>$B$25+$B$26+$B$27+$B$28</f>
        <v>501908.87999999995</v>
      </c>
      <c r="C50" s="182">
        <f>($B$25+$B$26+$B$27+$B$28)*(1+$B$14)^1*(C45/$B$45)</f>
        <v>704953.83599999989</v>
      </c>
      <c r="D50" s="182">
        <f>($B$25+$B$26+$B$27+$B$28)*(1+$B$14)^2*(D45/$B$45)</f>
        <v>793872.01318079967</v>
      </c>
      <c r="E50" s="182">
        <f>($B$25+$B$26+$B$27+$B$28)*(1+$B$14)^3*(E45/$B$45)</f>
        <v>857575.4015555518</v>
      </c>
      <c r="F50" s="182">
        <f>($B$25+$B$26+$B$27+$B$28)*(1+$B$14)^4*(F45/$B$45)</f>
        <v>903844.58601157228</v>
      </c>
    </row>
    <row r="51" spans="1:6">
      <c r="A51" t="s">
        <v>1573</v>
      </c>
      <c r="B51" s="182">
        <f>$B$29+$B$30</f>
        <v>73210.900000000009</v>
      </c>
      <c r="C51" s="182">
        <f>($B$29+$B$30)*(1+$B$14)^1</f>
        <v>75407.227000000014</v>
      </c>
      <c r="D51" s="182">
        <f>($B$29+$B$30)*(1+$B$14)^2</f>
        <v>77669.443810000012</v>
      </c>
      <c r="E51" s="182">
        <f>($B$29+$B$30)*(1+$B$14)^3</f>
        <v>79999.527124300017</v>
      </c>
      <c r="F51" s="182">
        <f>($B$29+$B$30)*(1+$B$14)^4</f>
        <v>82399.512938029002</v>
      </c>
    </row>
    <row r="52" spans="1:6">
      <c r="A52" t="s">
        <v>1574</v>
      </c>
      <c r="B52" s="182">
        <f>B31</f>
        <v>139629</v>
      </c>
      <c r="C52" s="182">
        <f>$B$8*$B$18</f>
        <v>235000</v>
      </c>
      <c r="D52" s="182">
        <f>C52*(1+$B$14)</f>
        <v>242050</v>
      </c>
      <c r="E52" s="182">
        <f>D52*(1+$B$14)</f>
        <v>249311.5</v>
      </c>
      <c r="F52" s="182">
        <f>E52*(1+$B$14)</f>
        <v>256790.845</v>
      </c>
    </row>
    <row r="53" spans="1:6">
      <c r="A53" t="s">
        <v>1492</v>
      </c>
      <c r="B53" s="182">
        <f>B48*$B$16</f>
        <v>61371.031200000012</v>
      </c>
      <c r="C53" s="182">
        <f>C48*$B$16</f>
        <v>73758.252548000019</v>
      </c>
      <c r="D53" s="182">
        <f>D48*$B$16</f>
        <v>82250.275644440015</v>
      </c>
      <c r="E53" s="182">
        <f>E48*$B$16</f>
        <v>88413.58607697321</v>
      </c>
      <c r="F53" s="182">
        <f>F48*$B$16</f>
        <v>92969.331773330399</v>
      </c>
    </row>
    <row r="54" spans="1:6">
      <c r="A54" t="s">
        <v>1550</v>
      </c>
      <c r="B54" s="182">
        <f>$B$5*$B$17</f>
        <v>50400</v>
      </c>
      <c r="C54" s="182">
        <f>$B$5*$B$17</f>
        <v>50400</v>
      </c>
      <c r="D54" s="182">
        <f>$B$5*$B$17</f>
        <v>50400</v>
      </c>
      <c r="E54" s="182">
        <f>$B$5*$B$17</f>
        <v>50400</v>
      </c>
      <c r="F54" s="182">
        <f>$B$5*$B$17</f>
        <v>50400</v>
      </c>
    </row>
    <row r="55" spans="1:6">
      <c r="A55" s="189" t="s">
        <v>436</v>
      </c>
      <c r="B55" s="185">
        <f>SUM(B50:B54)</f>
        <v>826519.81119999988</v>
      </c>
      <c r="C55" s="185">
        <f>SUM(C50:C54)</f>
        <v>1139519.3155479999</v>
      </c>
      <c r="D55" s="185">
        <f>SUM(D50:D54)</f>
        <v>1246241.7326352396</v>
      </c>
      <c r="E55" s="185">
        <f>SUM(E50:E54)</f>
        <v>1325700.0147568251</v>
      </c>
      <c r="F55" s="185">
        <f>SUM(F50:F54)</f>
        <v>1386404.2757229318</v>
      </c>
    </row>
    <row r="56" spans="1:6">
      <c r="A56" s="195" t="s">
        <v>1494</v>
      </c>
      <c r="B56" s="200">
        <f>B48-B55</f>
        <v>707755.96880000038</v>
      </c>
      <c r="C56" s="200">
        <f>C48-C55</f>
        <v>704436.99815200036</v>
      </c>
      <c r="D56" s="200">
        <f>D48-D55</f>
        <v>810015.1584757606</v>
      </c>
      <c r="E56" s="200">
        <f>E48-E55</f>
        <v>884639.63716750522</v>
      </c>
      <c r="F56" s="200">
        <f>F48-F55</f>
        <v>937829.0186103282</v>
      </c>
    </row>
    <row r="57" spans="1:6">
      <c r="A57" t="s">
        <v>1495</v>
      </c>
      <c r="B57" s="201">
        <f>B56/B48</f>
        <v>0.46129644880400855</v>
      </c>
      <c r="F57" s="201">
        <f>F56/F48</f>
        <v>0.40350038048971243</v>
      </c>
    </row>
    <row r="59" spans="1:6">
      <c r="A59" s="176" t="s">
        <v>1496</v>
      </c>
      <c r="B59" s="177"/>
      <c r="C59" s="177"/>
      <c r="D59" s="177"/>
      <c r="E59" s="177"/>
      <c r="F59" s="177"/>
    </row>
    <row r="60" spans="1:6">
      <c r="A60" t="s">
        <v>1497</v>
      </c>
      <c r="C60" s="182">
        <f>$E$6</f>
        <v>7637500</v>
      </c>
      <c r="D60" s="182">
        <f>C63</f>
        <v>7556646.3431838881</v>
      </c>
      <c r="E60" s="182">
        <f>D63</f>
        <v>7470132.9303906485</v>
      </c>
      <c r="F60" s="182">
        <f>E63</f>
        <v>7377563.5787018826</v>
      </c>
    </row>
    <row r="61" spans="1:6">
      <c r="A61" t="s">
        <v>1498</v>
      </c>
      <c r="C61" s="182">
        <f>C60*$E$7</f>
        <v>534625</v>
      </c>
      <c r="D61" s="182">
        <f>D60*$E$7</f>
        <v>528965.24402287218</v>
      </c>
      <c r="E61" s="182">
        <f>E60*$E$7</f>
        <v>522909.30512734543</v>
      </c>
      <c r="F61" s="182">
        <f>F60*$E$7</f>
        <v>516429.45050913183</v>
      </c>
    </row>
    <row r="62" spans="1:6">
      <c r="A62" t="s">
        <v>1499</v>
      </c>
      <c r="C62" s="182">
        <f>-PMT($E$7,$E$8,$E$6)-C61</f>
        <v>80853.656816111761</v>
      </c>
      <c r="D62" s="182">
        <f>-PMT($E$7,$E$8,$E$6)-D61</f>
        <v>86513.412793239579</v>
      </c>
      <c r="E62" s="182">
        <f>-PMT($E$7,$E$8,$E$6)-E61</f>
        <v>92569.351688766328</v>
      </c>
      <c r="F62" s="182">
        <f>-PMT($E$7,$E$8,$E$6)-F61</f>
        <v>99049.206306979933</v>
      </c>
    </row>
    <row r="63" spans="1:6">
      <c r="A63" t="s">
        <v>1500</v>
      </c>
      <c r="C63" s="182">
        <f>C60-C62</f>
        <v>7556646.3431838881</v>
      </c>
      <c r="D63" s="182">
        <f>D60-D62</f>
        <v>7470132.9303906485</v>
      </c>
      <c r="E63" s="182">
        <f>E60-E62</f>
        <v>7377563.5787018826</v>
      </c>
      <c r="F63" s="182">
        <f>F60-F62</f>
        <v>7278514.3723949026</v>
      </c>
    </row>
    <row r="64" spans="1:6" ht="14.5">
      <c r="A64" s="192" t="s">
        <v>1501</v>
      </c>
      <c r="C64" s="194">
        <f>C61+C62</f>
        <v>615478.65681611176</v>
      </c>
      <c r="D64" s="194">
        <f>D61+D62</f>
        <v>615478.65681611176</v>
      </c>
      <c r="E64" s="194">
        <f>E61+E62</f>
        <v>615478.65681611176</v>
      </c>
      <c r="F64" s="194">
        <f>F61+F62</f>
        <v>615478.65681611176</v>
      </c>
    </row>
    <row r="66" spans="1:6">
      <c r="A66" t="s">
        <v>785</v>
      </c>
      <c r="C66" s="182">
        <f>C56</f>
        <v>704436.99815200036</v>
      </c>
      <c r="D66" s="182">
        <f>D56</f>
        <v>810015.1584757606</v>
      </c>
      <c r="E66" s="182">
        <f>E56</f>
        <v>884639.63716750522</v>
      </c>
      <c r="F66" s="182">
        <f>F56</f>
        <v>937829.0186103282</v>
      </c>
    </row>
    <row r="67" spans="1:6">
      <c r="A67" t="s">
        <v>1502</v>
      </c>
      <c r="C67" s="190">
        <f>-C64</f>
        <v>-615478.65681611176</v>
      </c>
      <c r="D67" s="190">
        <f>-D64</f>
        <v>-615478.65681611176</v>
      </c>
      <c r="E67" s="190">
        <f>-E64</f>
        <v>-615478.65681611176</v>
      </c>
      <c r="F67" s="190">
        <f>-F64</f>
        <v>-615478.65681611176</v>
      </c>
    </row>
    <row r="68" spans="1:6">
      <c r="A68" s="189" t="s">
        <v>1503</v>
      </c>
      <c r="C68" s="185">
        <f>C66-C64</f>
        <v>88958.341335888603</v>
      </c>
      <c r="D68" s="185">
        <f>D66-D64</f>
        <v>194536.50165964884</v>
      </c>
      <c r="E68" s="185">
        <f>E66-E64</f>
        <v>269160.98035139346</v>
      </c>
      <c r="F68" s="185">
        <f>F66-F64</f>
        <v>322350.36179421644</v>
      </c>
    </row>
    <row r="70" spans="1:6">
      <c r="A70" t="s">
        <v>1537</v>
      </c>
      <c r="F70" s="185">
        <f>F56*(1+$B$13)/$E$11</f>
        <v>11708653.202044098</v>
      </c>
    </row>
    <row r="71" spans="1:6">
      <c r="A71" t="s">
        <v>1505</v>
      </c>
      <c r="F71" s="190">
        <f>-F70*$E$12</f>
        <v>-234173.06404088196</v>
      </c>
    </row>
    <row r="72" spans="1:6">
      <c r="A72" t="s">
        <v>1506</v>
      </c>
      <c r="F72" s="190">
        <f>-F63</f>
        <v>-7278514.3723949026</v>
      </c>
    </row>
    <row r="73" spans="1:6">
      <c r="A73" s="189" t="s">
        <v>1507</v>
      </c>
      <c r="F73" s="185">
        <f>F70+F71+F72</f>
        <v>4195965.7656083126</v>
      </c>
    </row>
    <row r="75" spans="1:6">
      <c r="A75" s="202" t="s">
        <v>1508</v>
      </c>
      <c r="B75" s="203">
        <f>-E13</f>
        <v>-4597500</v>
      </c>
      <c r="C75" s="203">
        <f>C68</f>
        <v>88958.341335888603</v>
      </c>
      <c r="D75" s="203">
        <f>D68</f>
        <v>194536.50165964884</v>
      </c>
      <c r="E75" s="203">
        <f>E68</f>
        <v>269160.98035139346</v>
      </c>
      <c r="F75" s="203">
        <f>F68+F73</f>
        <v>4518316.1274025291</v>
      </c>
    </row>
    <row r="77" spans="1:6">
      <c r="A77" s="207" t="s">
        <v>1510</v>
      </c>
      <c r="C77" s="208" t="s">
        <v>1511</v>
      </c>
      <c r="E77" s="208" t="s">
        <v>1512</v>
      </c>
    </row>
    <row r="78" spans="1:6">
      <c r="A78" t="s">
        <v>1513</v>
      </c>
      <c r="C78" s="209">
        <f>IRR(B75:F75)</f>
        <v>2.6038357026140657E-2</v>
      </c>
      <c r="E78" s="210">
        <v>0.31040000000000001</v>
      </c>
    </row>
    <row r="79" spans="1:6">
      <c r="A79" t="s">
        <v>1514</v>
      </c>
      <c r="C79" s="211">
        <f>SUM(C75:F75)/-B75</f>
        <v>1.102984654866658</v>
      </c>
      <c r="E79" s="212">
        <v>2.63</v>
      </c>
    </row>
    <row r="80" spans="1:6">
      <c r="A80" t="s">
        <v>1515</v>
      </c>
      <c r="C80" s="209">
        <f>AVERAGE(C68:F68)/-B75</f>
        <v>4.7580542965804641E-2</v>
      </c>
      <c r="E80" s="210">
        <v>0.126</v>
      </c>
    </row>
    <row r="81" spans="1:6">
      <c r="A81" t="s">
        <v>1516</v>
      </c>
      <c r="C81" s="209">
        <f>IRR(B82:F82)</f>
        <v>5.3422262031844081E-2</v>
      </c>
      <c r="E81" s="213" t="s">
        <v>1517</v>
      </c>
    </row>
    <row r="82" spans="1:6" ht="14.5">
      <c r="A82" s="204" t="s">
        <v>1509</v>
      </c>
      <c r="B82" s="205">
        <f>-(B8+B19+B8*E9)</f>
        <v>-12235000</v>
      </c>
      <c r="C82" s="206">
        <f>C56</f>
        <v>704436.99815200036</v>
      </c>
      <c r="D82" s="206">
        <f>D56</f>
        <v>810015.1584757606</v>
      </c>
      <c r="E82" s="206">
        <f>E56</f>
        <v>884639.63716750522</v>
      </c>
      <c r="F82" s="206">
        <f>F56+F70*(1-$E$12)</f>
        <v>12412309.156613544</v>
      </c>
    </row>
    <row r="85" spans="1:6">
      <c r="A85" s="176" t="s">
        <v>1575</v>
      </c>
      <c r="B85" s="177"/>
      <c r="C85" s="177"/>
      <c r="D85" s="177"/>
      <c r="E85" s="177"/>
      <c r="F85" s="177"/>
    </row>
    <row r="86" spans="1:6">
      <c r="A86" s="214" t="s">
        <v>1576</v>
      </c>
      <c r="B86" s="232">
        <v>500</v>
      </c>
      <c r="C86" s="232">
        <v>520</v>
      </c>
      <c r="D86" s="232">
        <v>540</v>
      </c>
      <c r="E86" s="232">
        <v>560</v>
      </c>
      <c r="F86" s="232">
        <v>580</v>
      </c>
    </row>
    <row r="87" spans="1:6">
      <c r="A87" s="186">
        <v>7.2499999999999995E-2</v>
      </c>
      <c r="B87" s="221">
        <f>_xlfn.LET(_xlpm.growth,$B$13, _xlpm.rent,B$86, _xlpm.xcap,$A87, _xlpm.beds,$B$5, _xlpm.infl,$B$14, _xlpm.oinfl,$B$15, _xlpm.mgmt,$B$16, _xlpm.resv,$B$5*$B$17, _xlpm.taxr,$B$18, _xlpm.dsvc,-PMT($E$7,$E$8,$E$6), _xlpm.equity,$E$13, _xlpm.payoff,$F$63, _xlpm.sellc,$E$12, _xlpm.price,$B$8, _xlpm.occa,$C$45, _xlpm.occb,$D$45, _xlpm.occc,$E$45, _xlpm.occd,$F$45, _xlpm.varb,($B$25+$B$26+$B$27+$B$28), _xlpm.fixb,($B$29+$B$30), _xlpm.othb,$B$23, _xlpm.ipocc,$B$45, _xlpm.egia,(_xlpm.beds*_xlpm.rent*12)*_xlpm.occa+_xlpm.othb*(1+_xlpm.oinfl)^1, _xlpm.egib,(_xlpm.beds*_xlpm.rent*12*(1+_xlpm.growth)^1)*_xlpm.occb+_xlpm.othb*(1+_xlpm.oinfl)^2, _xlpm.egic,(_xlpm.beds*_xlpm.rent*12*(1+_xlpm.growth)^2)*_xlpm.occc+_xlpm.othb*(1+_xlpm.oinfl)^3, _xlpm.egid,(_xlpm.beds*_xlpm.rent*12*(1+_xlpm.growth)^3)*_xlpm.occd+_xlpm.othb*(1+_xlpm.oinfl)^4, _xlpm.noia,_xlpm.egia-(_xlpm.varb*(1+_xlpm.infl)^1*(_xlpm.occa/_xlpm.ipocc)+_xlpm.fixb*(1+_xlpm.infl)^1+_xlpm.price*_xlpm.taxr+_xlpm.egia*_xlpm.mgmt+_xlpm.resv), _xlpm.noib,_xlpm.egib-(_xlpm.varb*(1+_xlpm.infl)^2*(_xlpm.occb/_xlpm.ipocc)+_xlpm.fixb*(1+_xlpm.infl)^2+_xlpm.price*_xlpm.taxr*(1+_xlpm.infl)^1+_xlpm.egib*_xlpm.mgmt+_xlpm.resv), _xlpm.noic,_xlpm.egic-(_xlpm.varb*(1+_xlpm.infl)^3*(_xlpm.occc/_xlpm.ipocc)+_xlpm.fixb*(1+_xlpm.infl)^3+_xlpm.price*_xlpm.taxr*(1+_xlpm.infl)^2+_xlpm.egic*_xlpm.mgmt+_xlpm.resv), _xlpm.noid,_xlpm.egid-(_xlpm.varb*(1+_xlpm.infl)^4*(_xlpm.occd/_xlpm.ipocc)+_xlpm.fixb*(1+_xlpm.infl)^4+_xlpm.price*_xlpm.taxr*(1+_xlpm.infl)^3+_xlpm.egid*_xlpm.mgmt+_xlpm.resv), _xlpm.exitv,_xlpm.noid*(1+_xlpm.growth)/_xlpm.xcap, _xlpm.netsale,_xlpm.exitv*(1-_xlpm.sellc)-_xlpm.payoff, IRR(_xlfn.HSTACK(-_xlpm.equity,_xlpm.noia-_xlpm.dsvc,_xlpm.noib-_xlpm.dsvc,_xlpm.noic-_xlpm.dsvc,_xlpm.noid-_xlpm.dsvc+_xlpm.netsale)))</f>
        <v>-3.1908878506407334E-2</v>
      </c>
      <c r="C87" s="217">
        <f t="shared" ref="C87:F91" si="0">_xlfn.LET(_xlpm.growth,$B$13, _xlpm.rent,C$86, _xlpm.xcap,$A87, _xlpm.beds,$B$5, _xlpm.infl,$B$14, _xlpm.oinfl,$B$15, _xlpm.mgmt,$B$16, _xlpm.resv,$B$5*$B$17, _xlpm.taxr,$B$18, _xlpm.dsvc,-PMT($E$7,$E$8,$E$6), _xlpm.equity,$E$13, _xlpm.payoff,$F$63, _xlpm.sellc,$E$12, _xlpm.price,$B$8, _xlpm.occa,$C$45, _xlpm.occb,$D$45, _xlpm.occc,$E$45, _xlpm.occd,$F$45, _xlpm.varb,($B$25+$B$26+$B$27+$B$28), _xlpm.fixb,($B$29+$B$30), _xlpm.othb,$B$23, _xlpm.ipocc,$B$45, _xlpm.egia,(_xlpm.beds*_xlpm.rent*12)*_xlpm.occa+_xlpm.othb*(1+_xlpm.oinfl)^1, _xlpm.egib,(_xlpm.beds*_xlpm.rent*12*(1+_xlpm.growth)^1)*_xlpm.occb+_xlpm.othb*(1+_xlpm.oinfl)^2, _xlpm.egic,(_xlpm.beds*_xlpm.rent*12*(1+_xlpm.growth)^2)*_xlpm.occc+_xlpm.othb*(1+_xlpm.oinfl)^3, _xlpm.egid,(_xlpm.beds*_xlpm.rent*12*(1+_xlpm.growth)^3)*_xlpm.occd+_xlpm.othb*(1+_xlpm.oinfl)^4, _xlpm.noia,_xlpm.egia-(_xlpm.varb*(1+_xlpm.infl)^1*(_xlpm.occa/_xlpm.ipocc)+_xlpm.fixb*(1+_xlpm.infl)^1+_xlpm.price*_xlpm.taxr+_xlpm.egia*_xlpm.mgmt+_xlpm.resv), _xlpm.noib,_xlpm.egib-(_xlpm.varb*(1+_xlpm.infl)^2*(_xlpm.occb/_xlpm.ipocc)+_xlpm.fixb*(1+_xlpm.infl)^2+_xlpm.price*_xlpm.taxr*(1+_xlpm.infl)^1+_xlpm.egib*_xlpm.mgmt+_xlpm.resv), _xlpm.noic,_xlpm.egic-(_xlpm.varb*(1+_xlpm.infl)^3*(_xlpm.occc/_xlpm.ipocc)+_xlpm.fixb*(1+_xlpm.infl)^3+_xlpm.price*_xlpm.taxr*(1+_xlpm.infl)^2+_xlpm.egic*_xlpm.mgmt+_xlpm.resv), _xlpm.noid,_xlpm.egid-(_xlpm.varb*(1+_xlpm.infl)^4*(_xlpm.occd/_xlpm.ipocc)+_xlpm.fixb*(1+_xlpm.infl)^4+_xlpm.price*_xlpm.taxr*(1+_xlpm.infl)^3+_xlpm.egid*_xlpm.mgmt+_xlpm.resv), _xlpm.exitv,_xlpm.noid*(1+_xlpm.growth)/_xlpm.xcap, _xlpm.netsale,_xlpm.exitv*(1-_xlpm.sellc)-_xlpm.payoff, IRR(_xlfn.HSTACK(-_xlpm.equity,_xlpm.noia-_xlpm.dsvc,_xlpm.noib-_xlpm.dsvc,_xlpm.noic-_xlpm.dsvc,_xlpm.noid-_xlpm.dsvc+_xlpm.netsale)))</f>
        <v>3.9633041934739266E-2</v>
      </c>
      <c r="D87" s="217">
        <f t="shared" si="0"/>
        <v>0.10083770190479768</v>
      </c>
      <c r="E87" s="217">
        <f t="shared" si="0"/>
        <v>0.15484291568121145</v>
      </c>
      <c r="F87" s="224">
        <f t="shared" si="0"/>
        <v>0.20350915067296271</v>
      </c>
    </row>
    <row r="88" spans="1:6">
      <c r="A88" s="186">
        <v>7.7499999999999999E-2</v>
      </c>
      <c r="B88" s="222">
        <f t="shared" ref="B88:F91" si="1">_xlfn.LET(_xlpm.growth,$B$13, _xlpm.rent,B$86, _xlpm.xcap,$A88, _xlpm.beds,$B$5, _xlpm.infl,$B$14, _xlpm.oinfl,$B$15, _xlpm.mgmt,$B$16, _xlpm.resv,$B$5*$B$17, _xlpm.taxr,$B$18, _xlpm.dsvc,-PMT($E$7,$E$8,$E$6), _xlpm.equity,$E$13, _xlpm.payoff,$F$63, _xlpm.sellc,$E$12, _xlpm.price,$B$8, _xlpm.occa,$C$45, _xlpm.occb,$D$45, _xlpm.occc,$E$45, _xlpm.occd,$F$45, _xlpm.varb,($B$25+$B$26+$B$27+$B$28), _xlpm.fixb,($B$29+$B$30), _xlpm.othb,$B$23, _xlpm.ipocc,$B$45, _xlpm.egia,(_xlpm.beds*_xlpm.rent*12)*_xlpm.occa+_xlpm.othb*(1+_xlpm.oinfl)^1, _xlpm.egib,(_xlpm.beds*_xlpm.rent*12*(1+_xlpm.growth)^1)*_xlpm.occb+_xlpm.othb*(1+_xlpm.oinfl)^2, _xlpm.egic,(_xlpm.beds*_xlpm.rent*12*(1+_xlpm.growth)^2)*_xlpm.occc+_xlpm.othb*(1+_xlpm.oinfl)^3, _xlpm.egid,(_xlpm.beds*_xlpm.rent*12*(1+_xlpm.growth)^3)*_xlpm.occd+_xlpm.othb*(1+_xlpm.oinfl)^4, _xlpm.noia,_xlpm.egia-(_xlpm.varb*(1+_xlpm.infl)^1*(_xlpm.occa/_xlpm.ipocc)+_xlpm.fixb*(1+_xlpm.infl)^1+_xlpm.price*_xlpm.taxr+_xlpm.egia*_xlpm.mgmt+_xlpm.resv), _xlpm.noib,_xlpm.egib-(_xlpm.varb*(1+_xlpm.infl)^2*(_xlpm.occb/_xlpm.ipocc)+_xlpm.fixb*(1+_xlpm.infl)^2+_xlpm.price*_xlpm.taxr*(1+_xlpm.infl)^1+_xlpm.egib*_xlpm.mgmt+_xlpm.resv), _xlpm.noic,_xlpm.egic-(_xlpm.varb*(1+_xlpm.infl)^3*(_xlpm.occc/_xlpm.ipocc)+_xlpm.fixb*(1+_xlpm.infl)^3+_xlpm.price*_xlpm.taxr*(1+_xlpm.infl)^2+_xlpm.egic*_xlpm.mgmt+_xlpm.resv), _xlpm.noid,_xlpm.egid-(_xlpm.varb*(1+_xlpm.infl)^4*(_xlpm.occd/_xlpm.ipocc)+_xlpm.fixb*(1+_xlpm.infl)^4+_xlpm.price*_xlpm.taxr*(1+_xlpm.infl)^3+_xlpm.egid*_xlpm.mgmt+_xlpm.resv), _xlpm.exitv,_xlpm.noid*(1+_xlpm.growth)/_xlpm.xcap, _xlpm.netsale,_xlpm.exitv*(1-_xlpm.sellc)-_xlpm.payoff, IRR(_xlfn.HSTACK(-_xlpm.equity,_xlpm.noia-_xlpm.dsvc,_xlpm.noib-_xlpm.dsvc,_xlpm.noic-_xlpm.dsvc,_xlpm.noid-_xlpm.dsvc+_xlpm.netsale)))</f>
        <v>-7.8064662893656434E-2</v>
      </c>
      <c r="C88" s="218">
        <f t="shared" si="0"/>
        <v>-1.3662365268171106E-3</v>
      </c>
      <c r="D88" s="218">
        <f t="shared" si="0"/>
        <v>6.3055470222703525E-2</v>
      </c>
      <c r="E88" s="218">
        <f t="shared" si="0"/>
        <v>0.11924066242758169</v>
      </c>
      <c r="F88" s="225">
        <f t="shared" si="0"/>
        <v>0.16946713451478845</v>
      </c>
    </row>
    <row r="89" spans="1:6">
      <c r="A89" s="186">
        <v>8.2500000000000004E-2</v>
      </c>
      <c r="B89" s="222">
        <f t="shared" si="1"/>
        <v>-0.12537994166561361</v>
      </c>
      <c r="C89" s="218">
        <f t="shared" si="0"/>
        <v>-4.2222206175142829E-2</v>
      </c>
      <c r="D89" s="219">
        <f t="shared" si="0"/>
        <v>2.6038357026140657E-2</v>
      </c>
      <c r="E89" s="218">
        <f t="shared" si="0"/>
        <v>8.475169524093018E-2</v>
      </c>
      <c r="F89" s="225">
        <f t="shared" si="0"/>
        <v>0.1367554478750781</v>
      </c>
    </row>
    <row r="90" spans="1:6">
      <c r="A90" s="186">
        <v>8.7499999999999994E-2</v>
      </c>
      <c r="B90" s="222">
        <f t="shared" si="1"/>
        <v>-0.17498987272711586</v>
      </c>
      <c r="C90" s="218">
        <f t="shared" si="0"/>
        <v>-8.3509359574325037E-2</v>
      </c>
      <c r="D90" s="218">
        <f t="shared" si="0"/>
        <v>-1.0606549045773961E-2</v>
      </c>
      <c r="E90" s="218">
        <f t="shared" si="0"/>
        <v>5.1056704866722979E-2</v>
      </c>
      <c r="F90" s="225">
        <f t="shared" si="0"/>
        <v>0.10508868622709122</v>
      </c>
    </row>
    <row r="91" spans="1:6">
      <c r="A91" s="186">
        <v>9.2499999999999999E-2</v>
      </c>
      <c r="B91" s="223">
        <f t="shared" si="1"/>
        <v>-0.22854427851703163</v>
      </c>
      <c r="C91" s="220">
        <f t="shared" si="0"/>
        <v>-0.12589997119699314</v>
      </c>
      <c r="D91" s="220">
        <f t="shared" si="0"/>
        <v>-4.7279541435217065E-2</v>
      </c>
      <c r="E91" s="220">
        <f t="shared" si="0"/>
        <v>1.7857228604459152E-2</v>
      </c>
      <c r="F91" s="226">
        <f t="shared" si="0"/>
        <v>7.4213371233284198E-2</v>
      </c>
    </row>
    <row r="93" spans="1:6">
      <c r="A93" s="227" t="s">
        <v>1520</v>
      </c>
      <c r="B93" s="228"/>
      <c r="C93" s="228"/>
      <c r="D93" s="228"/>
      <c r="E93" s="228"/>
      <c r="F93" s="228"/>
    </row>
    <row r="94" spans="1:6">
      <c r="A94" s="229" t="s">
        <v>1577</v>
      </c>
    </row>
    <row r="95" spans="1:6">
      <c r="A95" s="229" t="s">
        <v>1578</v>
      </c>
    </row>
    <row r="96" spans="1:6">
      <c r="A96" s="229" t="s">
        <v>1579</v>
      </c>
    </row>
    <row r="97" spans="1:1">
      <c r="A97" s="229" t="s">
        <v>1580</v>
      </c>
    </row>
    <row r="98" spans="1:1">
      <c r="A98" s="230" t="s">
        <v>1581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C9E56-50DC-4D3E-907D-835211BB9BED}">
  <dimension ref="A1:G36"/>
  <sheetViews>
    <sheetView tabSelected="1" workbookViewId="0">
      <pane ySplit="4" topLeftCell="A5" activePane="bottomLeft" state="frozen"/>
      <selection pane="bottomLeft" activeCell="B32" sqref="B32"/>
    </sheetView>
  </sheetViews>
  <sheetFormatPr defaultRowHeight="14"/>
  <cols>
    <col min="1" max="1" width="35" customWidth="1"/>
    <col min="2" max="7" width="15.33203125" customWidth="1"/>
  </cols>
  <sheetData>
    <row r="1" spans="1:7" ht="18">
      <c r="A1" s="174" t="s">
        <v>1582</v>
      </c>
    </row>
    <row r="2" spans="1:7">
      <c r="A2" s="175" t="s">
        <v>1583</v>
      </c>
    </row>
    <row r="3" spans="1:7">
      <c r="B3" s="233" t="s">
        <v>1584</v>
      </c>
      <c r="C3" s="233"/>
      <c r="D3" s="234" t="s">
        <v>1585</v>
      </c>
      <c r="E3" s="234"/>
      <c r="F3" s="233" t="s">
        <v>1586</v>
      </c>
      <c r="G3" s="233"/>
    </row>
    <row r="4" spans="1:7">
      <c r="A4" s="241" t="s">
        <v>1587</v>
      </c>
      <c r="B4" s="242" t="s">
        <v>1511</v>
      </c>
      <c r="C4" s="243" t="s">
        <v>1512</v>
      </c>
      <c r="D4" s="242" t="s">
        <v>1511</v>
      </c>
      <c r="E4" s="243" t="s">
        <v>1512</v>
      </c>
      <c r="F4" s="242" t="s">
        <v>1511</v>
      </c>
      <c r="G4" s="243" t="s">
        <v>1512</v>
      </c>
    </row>
    <row r="5" spans="1:7">
      <c r="A5" s="244" t="s">
        <v>1588</v>
      </c>
      <c r="B5" s="245" t="str">
        <f>'Amarillo UW'!B5&amp;" units"</f>
        <v>112 units</v>
      </c>
      <c r="C5" s="244"/>
      <c r="D5" s="245" t="str">
        <f>'Oak Cliff UW'!B5&amp;" units"</f>
        <v>136 units</v>
      </c>
      <c r="E5" s="244"/>
      <c r="F5" s="245" t="str">
        <f>'WTAMSH UW'!B5&amp;" beds"</f>
        <v>336 beds</v>
      </c>
      <c r="G5" s="244"/>
    </row>
    <row r="6" spans="1:7">
      <c r="A6" s="244" t="s">
        <v>1441</v>
      </c>
      <c r="B6" s="246">
        <f>'Amarillo UW'!B6</f>
        <v>1975</v>
      </c>
      <c r="C6" s="244"/>
      <c r="D6" s="246">
        <f>'Oak Cliff UW'!B6</f>
        <v>1974</v>
      </c>
      <c r="E6" s="244"/>
      <c r="F6" s="246">
        <f>'WTAMSH UW'!B7</f>
        <v>2006</v>
      </c>
      <c r="G6" s="244"/>
    </row>
    <row r="7" spans="1:7">
      <c r="A7" s="244" t="s">
        <v>1443</v>
      </c>
      <c r="B7" s="247">
        <f>'Amarillo UW'!B8</f>
        <v>5600000</v>
      </c>
      <c r="C7" s="248"/>
      <c r="D7" s="247">
        <f>'Oak Cliff UW'!B8</f>
        <v>7250000</v>
      </c>
      <c r="E7" s="244"/>
      <c r="F7" s="247">
        <f>'WTAMSH UW'!B8</f>
        <v>11750000</v>
      </c>
      <c r="G7" s="244"/>
    </row>
    <row r="8" spans="1:7">
      <c r="A8" s="244" t="s">
        <v>1589</v>
      </c>
      <c r="B8" s="247">
        <f>'Amarillo UW'!B9</f>
        <v>50000</v>
      </c>
      <c r="C8" s="244"/>
      <c r="D8" s="247">
        <f>'Oak Cliff UW'!B9</f>
        <v>53308.823529411762</v>
      </c>
      <c r="E8" s="244"/>
      <c r="F8" s="247">
        <f>'WTAMSH UW'!B9</f>
        <v>34970.238095238092</v>
      </c>
      <c r="G8" s="244"/>
    </row>
    <row r="9" spans="1:7">
      <c r="A9" s="244" t="s">
        <v>1479</v>
      </c>
      <c r="B9" s="247">
        <f>'Amarillo UW'!B38</f>
        <v>415171.86384999991</v>
      </c>
      <c r="C9" s="244"/>
      <c r="D9" s="247">
        <f>'Oak Cliff UW'!B33</f>
        <v>701408.98014999996</v>
      </c>
      <c r="E9" s="244"/>
      <c r="F9" s="247">
        <f>'WTAMSH UW'!B36</f>
        <v>707755.96880000026</v>
      </c>
      <c r="G9" s="244"/>
    </row>
    <row r="10" spans="1:7">
      <c r="A10" s="244" t="s">
        <v>1459</v>
      </c>
      <c r="B10" s="249">
        <f>'Amarillo UW'!B39</f>
        <v>7.4137832830357131E-2</v>
      </c>
      <c r="C10" s="250">
        <v>7.4099999999999999E-2</v>
      </c>
      <c r="D10" s="249">
        <f>'Oak Cliff UW'!B34</f>
        <v>9.6746066227586205E-2</v>
      </c>
      <c r="E10" s="250">
        <v>0.1004</v>
      </c>
      <c r="F10" s="249">
        <f>'WTAMSH UW'!B37</f>
        <v>6.0234550536170238E-2</v>
      </c>
      <c r="G10" s="250">
        <v>7.1099999999999997E-2</v>
      </c>
    </row>
    <row r="11" spans="1:7">
      <c r="A11" s="244" t="s">
        <v>1445</v>
      </c>
      <c r="B11" s="246">
        <f>'Amarillo UW'!B10</f>
        <v>4</v>
      </c>
      <c r="C11" s="244"/>
      <c r="D11" s="246">
        <f>'Oak Cliff UW'!B10</f>
        <v>5</v>
      </c>
      <c r="E11" s="244"/>
      <c r="F11" s="246">
        <f>'WTAMSH UW'!B10</f>
        <v>4</v>
      </c>
      <c r="G11" s="244"/>
    </row>
    <row r="12" spans="1:7">
      <c r="A12" s="244" t="s">
        <v>1460</v>
      </c>
      <c r="B12" s="249">
        <f>'Amarillo UW'!E11</f>
        <v>8.2500000000000004E-2</v>
      </c>
      <c r="C12" s="250">
        <v>0.08</v>
      </c>
      <c r="D12" s="249">
        <f>'Oak Cliff UW'!E11</f>
        <v>9.2499999999999999E-2</v>
      </c>
      <c r="E12" s="250">
        <v>8.5000000000000006E-2</v>
      </c>
      <c r="F12" s="249">
        <f>'WTAMSH UW'!E11</f>
        <v>8.2500000000000004E-2</v>
      </c>
      <c r="G12" s="250">
        <v>0.08</v>
      </c>
    </row>
    <row r="13" spans="1:7">
      <c r="A13" s="244" t="s">
        <v>1590</v>
      </c>
      <c r="B13" s="247">
        <f>'Amarillo UW'!F70</f>
        <v>7497024.6329759285</v>
      </c>
      <c r="C13" s="251">
        <v>11562000</v>
      </c>
      <c r="D13" s="247">
        <f>'Oak Cliff UW'!G70</f>
        <v>11043574.979850354</v>
      </c>
      <c r="E13" s="251">
        <v>15847199</v>
      </c>
      <c r="F13" s="247">
        <f>'WTAMSH UW'!F70</f>
        <v>11708653.202044098</v>
      </c>
      <c r="G13" s="251">
        <v>19827732</v>
      </c>
    </row>
    <row r="14" spans="1:7">
      <c r="A14" s="244" t="s">
        <v>1591</v>
      </c>
      <c r="B14" s="247">
        <f>'Amarillo UW'!E13</f>
        <v>3461000.0000000005</v>
      </c>
      <c r="C14" s="251">
        <v>3980000</v>
      </c>
      <c r="D14" s="247">
        <f>'Oak Cliff UW'!E13</f>
        <v>4156000</v>
      </c>
      <c r="E14" s="251">
        <v>2910000</v>
      </c>
      <c r="F14" s="247">
        <f>'WTAMSH UW'!E13</f>
        <v>4597500</v>
      </c>
      <c r="G14" s="251">
        <v>4375000</v>
      </c>
    </row>
    <row r="15" spans="1:7">
      <c r="A15" s="252" t="s">
        <v>1592</v>
      </c>
      <c r="B15" s="253"/>
      <c r="C15" s="253"/>
      <c r="D15" s="253"/>
      <c r="E15" s="253"/>
      <c r="F15" s="253"/>
      <c r="G15" s="253"/>
    </row>
    <row r="16" spans="1:7">
      <c r="A16" s="254" t="s">
        <v>1513</v>
      </c>
      <c r="B16" s="255">
        <f>'Amarillo UW'!C78</f>
        <v>7.7154977782309286E-2</v>
      </c>
      <c r="C16" s="256">
        <f>'Amarillo UW'!E78</f>
        <v>0.22389999999999999</v>
      </c>
      <c r="D16" s="255">
        <f>'Oak Cliff UW'!C78</f>
        <v>0.17584601542213529</v>
      </c>
      <c r="E16" s="256">
        <f>'Oak Cliff UW'!E78</f>
        <v>0.42759999999999998</v>
      </c>
      <c r="F16" s="255">
        <f>'WTAMSH UW'!C78</f>
        <v>2.6038357026140657E-2</v>
      </c>
      <c r="G16" s="256">
        <f>'WTAMSH UW'!E78</f>
        <v>0.31040000000000001</v>
      </c>
    </row>
    <row r="17" spans="1:7">
      <c r="A17" s="254" t="s">
        <v>1514</v>
      </c>
      <c r="B17" s="257">
        <f>'Amarillo UW'!C79</f>
        <v>1.3176700815275508</v>
      </c>
      <c r="C17" s="258">
        <f>'Amarillo UW'!E79</f>
        <v>2.0299999999999998</v>
      </c>
      <c r="D17" s="257">
        <f>'Oak Cliff UW'!C79</f>
        <v>2.0322531658660221</v>
      </c>
      <c r="E17" s="258">
        <f>'Oak Cliff UW'!E79</f>
        <v>3</v>
      </c>
      <c r="F17" s="257">
        <f>'WTAMSH UW'!C79</f>
        <v>1.102984654866658</v>
      </c>
      <c r="G17" s="258">
        <f>'WTAMSH UW'!E79</f>
        <v>2.63</v>
      </c>
    </row>
    <row r="18" spans="1:7">
      <c r="A18" s="244" t="s">
        <v>1515</v>
      </c>
      <c r="B18" s="259">
        <f>'Amarillo UW'!C80</f>
        <v>6.8558230384733854E-2</v>
      </c>
      <c r="C18" s="256">
        <f>'Amarillo UW'!E80</f>
        <v>0.112</v>
      </c>
      <c r="D18" s="259">
        <f>'Oak Cliff UW'!C80</f>
        <v>0.11613359039708294</v>
      </c>
      <c r="E18" s="256">
        <f>'Oak Cliff UW'!E80</f>
        <v>0.1186</v>
      </c>
      <c r="F18" s="259">
        <f>'WTAMSH UW'!C80</f>
        <v>4.7580542965804641E-2</v>
      </c>
      <c r="G18" s="256">
        <f>'WTAMSH UW'!E80</f>
        <v>0.126</v>
      </c>
    </row>
    <row r="19" spans="1:7">
      <c r="A19" s="244" t="s">
        <v>1516</v>
      </c>
      <c r="B19" s="259">
        <f>'Amarillo UW'!C81</f>
        <v>7.3432382588581868E-2</v>
      </c>
      <c r="C19" s="244"/>
      <c r="D19" s="259">
        <f>'Oak Cliff UW'!C81</f>
        <v>0.12445983092266166</v>
      </c>
      <c r="E19" s="244"/>
      <c r="F19" s="259">
        <f>'WTAMSH UW'!C81</f>
        <v>5.3422262031844081E-2</v>
      </c>
      <c r="G19" s="244"/>
    </row>
    <row r="21" spans="1:7">
      <c r="A21" s="227" t="s">
        <v>1593</v>
      </c>
      <c r="B21" s="228"/>
      <c r="C21" s="228"/>
      <c r="D21" s="228"/>
      <c r="E21" s="228"/>
      <c r="F21" s="228"/>
      <c r="G21" s="228"/>
    </row>
    <row r="22" spans="1:7" ht="58" customHeight="1">
      <c r="A22" s="236" t="s">
        <v>1594</v>
      </c>
      <c r="B22" s="235"/>
      <c r="C22" s="235"/>
      <c r="D22" s="235"/>
      <c r="E22" s="235"/>
      <c r="F22" s="235"/>
      <c r="G22" s="235"/>
    </row>
    <row r="24" spans="1:7" ht="32" customHeight="1">
      <c r="A24" s="236" t="s">
        <v>1595</v>
      </c>
      <c r="B24" s="235"/>
      <c r="C24" s="235"/>
      <c r="D24" s="235"/>
      <c r="E24" s="235"/>
      <c r="F24" s="235"/>
      <c r="G24" s="235"/>
    </row>
    <row r="26" spans="1:7" ht="30.5" customHeight="1">
      <c r="A26" s="238" t="s">
        <v>1596</v>
      </c>
      <c r="B26" s="237"/>
      <c r="C26" s="237"/>
      <c r="D26" s="237"/>
      <c r="E26" s="237"/>
      <c r="F26" s="237"/>
      <c r="G26" s="237"/>
    </row>
    <row r="28" spans="1:7" ht="30" customHeight="1">
      <c r="A28" s="240" t="s">
        <v>1597</v>
      </c>
      <c r="B28" s="239"/>
      <c r="C28" s="239"/>
      <c r="D28" s="239"/>
      <c r="E28" s="239"/>
      <c r="F28" s="239"/>
      <c r="G28" s="239"/>
    </row>
    <row r="30" spans="1:7" ht="14.5">
      <c r="A30" s="260" t="s">
        <v>1600</v>
      </c>
    </row>
    <row r="31" spans="1:7" ht="14.5">
      <c r="A31" s="261" t="s">
        <v>1601</v>
      </c>
    </row>
    <row r="32" spans="1:7" ht="14.5">
      <c r="A32" s="261" t="s">
        <v>1602</v>
      </c>
    </row>
    <row r="33" spans="1:1" ht="14.5">
      <c r="A33" s="261" t="s">
        <v>1603</v>
      </c>
    </row>
    <row r="34" spans="1:1" ht="14.5">
      <c r="A34" s="260" t="s">
        <v>1604</v>
      </c>
    </row>
    <row r="36" spans="1:1" ht="14.5">
      <c r="A36" s="262" t="s">
        <v>1605</v>
      </c>
    </row>
  </sheetData>
  <mergeCells count="7">
    <mergeCell ref="A28:G28"/>
    <mergeCell ref="B3:C3"/>
    <mergeCell ref="D3:E3"/>
    <mergeCell ref="F3:G3"/>
    <mergeCell ref="A22:G22"/>
    <mergeCell ref="A24:G24"/>
    <mergeCell ref="A26:G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9e6cb69-13e3-4ff3-9edf-9a10e7f89a49" xsi:nil="true"/>
    <lcf76f155ced4ddcb4097134ff3c332f xmlns="394ad57d-9e88-4b81-bb91-1fdd963fbdb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E32540873FF84B8BDCEFF2AF8623F8" ma:contentTypeVersion="13" ma:contentTypeDescription="Create a new document." ma:contentTypeScope="" ma:versionID="16a1773a48f998be1299abd18e8fa5d7">
  <xsd:schema xmlns:xsd="http://www.w3.org/2001/XMLSchema" xmlns:xs="http://www.w3.org/2001/XMLSchema" xmlns:p="http://schemas.microsoft.com/office/2006/metadata/properties" xmlns:ns2="394ad57d-9e88-4b81-bb91-1fdd963fbdba" xmlns:ns3="69e6cb69-13e3-4ff3-9edf-9a10e7f89a49" targetNamespace="http://schemas.microsoft.com/office/2006/metadata/properties" ma:root="true" ma:fieldsID="c73fc98e0de7c532d06694637650ecb7" ns2:_="" ns3:_="">
    <xsd:import namespace="394ad57d-9e88-4b81-bb91-1fdd963fbdba"/>
    <xsd:import namespace="69e6cb69-13e3-4ff3-9edf-9a10e7f89a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ad57d-9e88-4b81-bb91-1fdd963fbd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3af4c5b-7d75-44f5-92a3-e7a5e7891c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e6cb69-13e3-4ff3-9edf-9a10e7f89a4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dc4998d-0d6d-4dfd-bf0a-8a315ce7dc65}" ma:internalName="TaxCatchAll" ma:showField="CatchAllData" ma:web="69e6cb69-13e3-4ff3-9edf-9a10e7f89a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8DEC46-5820-4617-BE05-926F6E3EF6CB}">
  <ds:schemaRefs>
    <ds:schemaRef ds:uri="http://schemas.microsoft.com/office/2006/metadata/properties"/>
    <ds:schemaRef ds:uri="http://schemas.microsoft.com/office/infopath/2007/PartnerControls"/>
    <ds:schemaRef ds:uri="69e6cb69-13e3-4ff3-9edf-9a10e7f89a49"/>
    <ds:schemaRef ds:uri="394ad57d-9e88-4b81-bb91-1fdd963fbdba"/>
  </ds:schemaRefs>
</ds:datastoreItem>
</file>

<file path=customXml/itemProps2.xml><?xml version="1.0" encoding="utf-8"?>
<ds:datastoreItem xmlns:ds="http://schemas.openxmlformats.org/officeDocument/2006/customXml" ds:itemID="{8DE2E751-3AC5-4631-8277-8A32D2EE77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2FC488-2A60-4EFD-B3FD-46AE9982B2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4ad57d-9e88-4b81-bb91-1fdd963fbdba"/>
    <ds:schemaRef ds:uri="69e6cb69-13e3-4ff3-9edf-9a10e7f89a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Amarillo T12</vt:lpstr>
      <vt:lpstr>Amarillo RR</vt:lpstr>
      <vt:lpstr>Oak T-12</vt:lpstr>
      <vt:lpstr>Oak RR</vt:lpstr>
      <vt:lpstr>WTAMSH T-12</vt:lpstr>
      <vt:lpstr>WTAMSH RR</vt:lpstr>
      <vt:lpstr>Amarillo UW</vt:lpstr>
      <vt:lpstr>Oak Cliff UW</vt:lpstr>
      <vt:lpstr>WTAMSH UW</vt:lpstr>
      <vt:lpstr>Deal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Jon Keith</cp:lastModifiedBy>
  <cp:revision>0</cp:revision>
  <dcterms:created xsi:type="dcterms:W3CDTF">2026-04-13T15:13:45Z</dcterms:created>
  <dcterms:modified xsi:type="dcterms:W3CDTF">2026-07-06T23:16:39Z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0x01010020E32540873FF84B8BDCEFF2AF8623F8</vt:lpwstr>
  </property>
</Properties>
</file>